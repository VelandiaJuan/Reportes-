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5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6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7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8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9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10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11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12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13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14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15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6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17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18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19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20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drawings/drawing21.xml" ContentType="application/vnd.openxmlformats-officedocument.drawing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drawings/drawing22.xml" ContentType="application/vnd.openxmlformats-officedocument.drawing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drawings/drawing23.xml" ContentType="application/vnd.openxmlformats-officedocument.drawing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24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25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Ramon Porras\Desktop\CAÑO SUR\viaticos\"/>
    </mc:Choice>
  </mc:AlternateContent>
  <bookViews>
    <workbookView xWindow="0" yWindow="0" windowWidth="19200" windowHeight="7310" firstSheet="25" activeTab="25"/>
  </bookViews>
  <sheets>
    <sheet name="06 -11-2018   (4)" sheetId="21" r:id="rId1"/>
    <sheet name="27-08-2018" sheetId="1" r:id="rId2"/>
    <sheet name="LEGALIZACION 1 MILLON" sheetId="2" r:id="rId3"/>
    <sheet name="LEGALIZACION ALI" sheetId="4" r:id="rId4"/>
    <sheet name="3" sheetId="3" r:id="rId5"/>
    <sheet name="03-09-2018" sheetId="5" r:id="rId6"/>
    <sheet name="legalizacion alejandro torres" sheetId="6" r:id="rId7"/>
    <sheet name="10-09-2018" sheetId="7" r:id="rId8"/>
    <sheet name="LEGALIZACION ALI (2)" sheetId="8" r:id="rId9"/>
    <sheet name="17 -09-2018" sheetId="9" r:id="rId10"/>
    <sheet name="LEGALIZACION ALI (3)" sheetId="10" r:id="rId11"/>
    <sheet name="24 -09-2018" sheetId="11" r:id="rId12"/>
    <sheet name="01 -10-2018 (2)" sheetId="13" r:id="rId13"/>
    <sheet name="08 -10-2018" sheetId="12" r:id="rId14"/>
    <sheet name="16 -10-2018" sheetId="14" r:id="rId15"/>
    <sheet name="22 -10-2018" sheetId="15" r:id="rId16"/>
    <sheet name="30 -10-2018 " sheetId="16" r:id="rId17"/>
    <sheet name="06 -11-2018  " sheetId="17" r:id="rId18"/>
    <sheet name="06 -11-2018   (2)" sheetId="18" r:id="rId19"/>
    <sheet name="06 -11-2018   (3)" sheetId="19" r:id="rId20"/>
    <sheet name="19-11-2018  " sheetId="20" r:id="rId21"/>
    <sheet name="26 -11-2018" sheetId="23" r:id="rId22"/>
    <sheet name="03 -12-2018 " sheetId="24" r:id="rId23"/>
    <sheet name="10 -12-2018 " sheetId="25" r:id="rId24"/>
    <sheet name="14 -12-2018" sheetId="26" r:id="rId25"/>
    <sheet name="04-02-2022" sheetId="27" r:id="rId26"/>
  </sheets>
  <externalReferences>
    <externalReference r:id="rId27"/>
  </externalReferences>
  <definedNames>
    <definedName name="_xlnm._FilterDatabase" localSheetId="22" hidden="1">'03 -12-2018 '!$C$9:$J$64</definedName>
    <definedName name="_xlnm._FilterDatabase" localSheetId="25" hidden="1">'04-02-2022'!$C$9:$J$22</definedName>
    <definedName name="_xlnm._FilterDatabase" localSheetId="17" hidden="1">'06 -11-2018  '!$C$9:$J$113</definedName>
    <definedName name="_xlnm._FilterDatabase" localSheetId="18" hidden="1">'06 -11-2018   (2)'!$C$9:$J$68</definedName>
    <definedName name="_xlnm._FilterDatabase" localSheetId="19" hidden="1">'06 -11-2018   (3)'!$C$9:$J$31</definedName>
    <definedName name="_xlnm._FilterDatabase" localSheetId="0" hidden="1">'06 -11-2018   (4)'!$C$9:$J$113</definedName>
    <definedName name="_xlnm._FilterDatabase" localSheetId="23" hidden="1">'10 -12-2018 '!$C$9:$J$95</definedName>
    <definedName name="_xlnm._FilterDatabase" localSheetId="24" hidden="1">'14 -12-2018'!$C$9:$J$26</definedName>
    <definedName name="_xlnm._FilterDatabase" localSheetId="20" hidden="1">'19-11-2018  '!$C$9:$J$105</definedName>
    <definedName name="_xlnm._FilterDatabase" localSheetId="21" hidden="1">'26 -11-2018'!$C$9:$J$91</definedName>
    <definedName name="_xlnm._FilterDatabase" localSheetId="16" hidden="1">'30 -10-2018 '!$C$9:$J$86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27" l="1"/>
  <c r="D33" i="27"/>
  <c r="D32" i="27"/>
  <c r="D31" i="27"/>
  <c r="D30" i="27"/>
  <c r="D29" i="27"/>
  <c r="D28" i="27"/>
  <c r="D25" i="27"/>
  <c r="C22" i="27"/>
  <c r="G15" i="27"/>
  <c r="H9" i="27"/>
  <c r="I15" i="27" l="1"/>
  <c r="D35" i="27"/>
  <c r="H15" i="27"/>
  <c r="I20" i="26"/>
  <c r="D38" i="26"/>
  <c r="D37" i="26"/>
  <c r="D36" i="26"/>
  <c r="D35" i="26"/>
  <c r="D34" i="26"/>
  <c r="D33" i="26"/>
  <c r="D32" i="26"/>
  <c r="D31" i="26"/>
  <c r="D30" i="26"/>
  <c r="D29" i="26"/>
  <c r="C26" i="26"/>
  <c r="G18" i="26"/>
  <c r="I11" i="26"/>
  <c r="E11" i="26"/>
  <c r="H18" i="26"/>
  <c r="E10" i="26"/>
  <c r="H9" i="26"/>
  <c r="I17" i="27" l="1"/>
  <c r="I18" i="27" s="1"/>
  <c r="E20" i="27"/>
  <c r="E21" i="27" s="1"/>
  <c r="D39" i="26"/>
  <c r="C23" i="26" s="1"/>
  <c r="I10" i="26"/>
  <c r="I18" i="26" s="1"/>
  <c r="I21" i="26" s="1"/>
  <c r="I84" i="25"/>
  <c r="I87" i="25"/>
  <c r="H87" i="25"/>
  <c r="I82" i="25"/>
  <c r="I81" i="25"/>
  <c r="E82" i="25"/>
  <c r="I80" i="25"/>
  <c r="H80" i="25"/>
  <c r="E79" i="25"/>
  <c r="H77" i="25"/>
  <c r="I77" i="25" s="1"/>
  <c r="E77" i="25"/>
  <c r="I76" i="25"/>
  <c r="E76" i="25"/>
  <c r="I74" i="25"/>
  <c r="H75" i="25"/>
  <c r="I75" i="25" s="1"/>
  <c r="E74" i="25"/>
  <c r="H73" i="25"/>
  <c r="I73" i="25" s="1"/>
  <c r="E73" i="25"/>
  <c r="I72" i="25"/>
  <c r="E72" i="25"/>
  <c r="I71" i="25"/>
  <c r="E71" i="25"/>
  <c r="I70" i="25"/>
  <c r="E70" i="25"/>
  <c r="I69" i="25"/>
  <c r="I68" i="25"/>
  <c r="E68" i="25"/>
  <c r="I67" i="25"/>
  <c r="E67" i="25"/>
  <c r="I66" i="25"/>
  <c r="E66" i="25"/>
  <c r="I65" i="25"/>
  <c r="I64" i="25"/>
  <c r="E64" i="25"/>
  <c r="I63" i="25"/>
  <c r="E63" i="25"/>
  <c r="I62" i="25"/>
  <c r="E62" i="25"/>
  <c r="I61" i="25"/>
  <c r="E61" i="25"/>
  <c r="I53" i="25"/>
  <c r="I54" i="25"/>
  <c r="I55" i="25"/>
  <c r="I56" i="25"/>
  <c r="I57" i="25"/>
  <c r="I58" i="25"/>
  <c r="I59" i="25"/>
  <c r="I60" i="25"/>
  <c r="E53" i="25"/>
  <c r="E54" i="25"/>
  <c r="E55" i="25"/>
  <c r="E56" i="25"/>
  <c r="E57" i="25"/>
  <c r="E58" i="25"/>
  <c r="E59" i="25"/>
  <c r="E60" i="25"/>
  <c r="E15" i="25"/>
  <c r="E17" i="25"/>
  <c r="E18" i="25"/>
  <c r="E19" i="25"/>
  <c r="E20" i="25"/>
  <c r="E21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84" i="25"/>
  <c r="E87" i="25"/>
  <c r="E10" i="25"/>
  <c r="D107" i="25"/>
  <c r="D106" i="25"/>
  <c r="D105" i="25"/>
  <c r="D104" i="25"/>
  <c r="D103" i="25"/>
  <c r="D102" i="25"/>
  <c r="D101" i="25"/>
  <c r="D100" i="25"/>
  <c r="D99" i="25"/>
  <c r="D98" i="25"/>
  <c r="C95" i="25"/>
  <c r="G88" i="25"/>
  <c r="I85" i="25"/>
  <c r="I8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E14" i="25"/>
  <c r="I13" i="25"/>
  <c r="I12" i="25"/>
  <c r="I11" i="25"/>
  <c r="I10" i="25"/>
  <c r="H9" i="25"/>
  <c r="E23" i="26" l="1"/>
  <c r="E24" i="26" s="1"/>
  <c r="I88" i="25"/>
  <c r="D108" i="25"/>
  <c r="C93" i="25" s="1"/>
  <c r="H88" i="25"/>
  <c r="I14" i="25"/>
  <c r="I57" i="24"/>
  <c r="H33" i="24"/>
  <c r="I33" i="24"/>
  <c r="I25" i="24"/>
  <c r="E51" i="24"/>
  <c r="E50" i="24"/>
  <c r="E49" i="24"/>
  <c r="E48" i="24"/>
  <c r="E47" i="24"/>
  <c r="I50" i="24"/>
  <c r="I49" i="24"/>
  <c r="I48" i="24"/>
  <c r="I47" i="24"/>
  <c r="E44" i="24"/>
  <c r="I44" i="24"/>
  <c r="E45" i="24"/>
  <c r="I45" i="24"/>
  <c r="E46" i="24"/>
  <c r="I46" i="24"/>
  <c r="I51" i="24"/>
  <c r="I43" i="24"/>
  <c r="H42" i="24"/>
  <c r="I42" i="24" s="1"/>
  <c r="H41" i="24"/>
  <c r="I41" i="24" s="1"/>
  <c r="I40" i="24"/>
  <c r="I39" i="24"/>
  <c r="I38" i="24"/>
  <c r="I55" i="24"/>
  <c r="I54" i="24"/>
  <c r="E54" i="24"/>
  <c r="E38" i="24"/>
  <c r="E39" i="24"/>
  <c r="E40" i="24"/>
  <c r="E41" i="24"/>
  <c r="H32" i="24"/>
  <c r="H31" i="24"/>
  <c r="H29" i="24"/>
  <c r="H28" i="24"/>
  <c r="H23" i="24"/>
  <c r="H22" i="24"/>
  <c r="H14" i="24"/>
  <c r="I90" i="25" l="1"/>
  <c r="I91" i="25" s="1"/>
  <c r="E93" i="25"/>
  <c r="E94" i="25" s="1"/>
  <c r="I56" i="24"/>
  <c r="E52" i="24"/>
  <c r="E30" i="24"/>
  <c r="E32" i="24"/>
  <c r="E34" i="24"/>
  <c r="E35" i="24"/>
  <c r="E36" i="24"/>
  <c r="E37" i="24"/>
  <c r="D76" i="24"/>
  <c r="D75" i="24"/>
  <c r="D74" i="24"/>
  <c r="D73" i="24"/>
  <c r="D72" i="24"/>
  <c r="D71" i="24"/>
  <c r="D70" i="24"/>
  <c r="D69" i="24"/>
  <c r="D68" i="24"/>
  <c r="D67" i="24"/>
  <c r="C64" i="24"/>
  <c r="G57" i="24"/>
  <c r="I53" i="24"/>
  <c r="I52" i="24"/>
  <c r="I37" i="24"/>
  <c r="I36" i="24"/>
  <c r="I35" i="24"/>
  <c r="I34" i="24"/>
  <c r="I32" i="24"/>
  <c r="I31" i="24"/>
  <c r="I30" i="24"/>
  <c r="I28" i="24"/>
  <c r="I27" i="24"/>
  <c r="I26" i="24"/>
  <c r="E26" i="24"/>
  <c r="E25" i="24"/>
  <c r="I24" i="24"/>
  <c r="E24" i="24"/>
  <c r="I23" i="24"/>
  <c r="I22" i="24"/>
  <c r="I21" i="24"/>
  <c r="E21" i="24"/>
  <c r="I20" i="24"/>
  <c r="E20" i="24"/>
  <c r="I19" i="24"/>
  <c r="E19" i="24"/>
  <c r="I18" i="24"/>
  <c r="E18" i="24"/>
  <c r="I17" i="24"/>
  <c r="E17" i="24"/>
  <c r="I16" i="24"/>
  <c r="E16" i="24"/>
  <c r="I15" i="24"/>
  <c r="E15" i="24"/>
  <c r="I14" i="24"/>
  <c r="E14" i="24"/>
  <c r="I13" i="24"/>
  <c r="E13" i="24"/>
  <c r="I12" i="24"/>
  <c r="E12" i="24"/>
  <c r="I11" i="24"/>
  <c r="E11" i="24"/>
  <c r="I10" i="24"/>
  <c r="H9" i="24"/>
  <c r="I79" i="23"/>
  <c r="E79" i="23"/>
  <c r="C91" i="23"/>
  <c r="I83" i="23"/>
  <c r="D77" i="24" l="1"/>
  <c r="C62" i="24" s="1"/>
  <c r="H57" i="24"/>
  <c r="I29" i="24"/>
  <c r="I59" i="24" l="1"/>
  <c r="I60" i="24" s="1"/>
  <c r="E62" i="24"/>
  <c r="E63" i="24" s="1"/>
  <c r="H30" i="23" l="1"/>
  <c r="G84" i="23"/>
  <c r="E69" i="23" l="1"/>
  <c r="E70" i="23"/>
  <c r="E71" i="23"/>
  <c r="E73" i="23"/>
  <c r="E74" i="23"/>
  <c r="E76" i="23"/>
  <c r="E78" i="23"/>
  <c r="E81" i="23"/>
  <c r="E82" i="23"/>
  <c r="E83" i="23"/>
  <c r="D103" i="23"/>
  <c r="D102" i="23"/>
  <c r="D101" i="23"/>
  <c r="D100" i="23"/>
  <c r="D99" i="23"/>
  <c r="D98" i="23"/>
  <c r="D97" i="23"/>
  <c r="D96" i="23"/>
  <c r="D95" i="23"/>
  <c r="D94" i="23"/>
  <c r="I82" i="23"/>
  <c r="I81" i="23"/>
  <c r="I84" i="23" s="1"/>
  <c r="I80" i="23"/>
  <c r="I78" i="23"/>
  <c r="I77" i="23"/>
  <c r="I76" i="23"/>
  <c r="I75" i="23"/>
  <c r="I74" i="23"/>
  <c r="I73" i="23"/>
  <c r="I72" i="23"/>
  <c r="I71" i="23"/>
  <c r="I70" i="23"/>
  <c r="I69" i="23"/>
  <c r="I68" i="23"/>
  <c r="E68" i="23"/>
  <c r="I67" i="23"/>
  <c r="I66" i="23"/>
  <c r="I65" i="23"/>
  <c r="I64" i="23"/>
  <c r="I63" i="23"/>
  <c r="I62" i="23"/>
  <c r="L61" i="23"/>
  <c r="I61" i="23"/>
  <c r="E61" i="23"/>
  <c r="I60" i="23"/>
  <c r="I59" i="23"/>
  <c r="I58" i="23"/>
  <c r="E58" i="23"/>
  <c r="I57" i="23"/>
  <c r="E57" i="23"/>
  <c r="I56" i="23"/>
  <c r="I55" i="23"/>
  <c r="I54" i="23"/>
  <c r="E54" i="23"/>
  <c r="I53" i="23"/>
  <c r="E53" i="23"/>
  <c r="I52" i="23"/>
  <c r="I51" i="23"/>
  <c r="E51" i="23"/>
  <c r="I50" i="23"/>
  <c r="I49" i="23"/>
  <c r="E49" i="23"/>
  <c r="I48" i="23"/>
  <c r="E48" i="23"/>
  <c r="I47" i="23"/>
  <c r="E47" i="23"/>
  <c r="I46" i="23"/>
  <c r="E46" i="23"/>
  <c r="I45" i="23"/>
  <c r="I44" i="23"/>
  <c r="I43" i="23"/>
  <c r="I42" i="23"/>
  <c r="I41" i="23"/>
  <c r="E41" i="23"/>
  <c r="I40" i="23"/>
  <c r="E40" i="23"/>
  <c r="I39" i="23"/>
  <c r="E39" i="23"/>
  <c r="I38" i="23"/>
  <c r="E38" i="23"/>
  <c r="I37" i="23"/>
  <c r="I36" i="23"/>
  <c r="E36" i="23"/>
  <c r="I35" i="23"/>
  <c r="E35" i="23"/>
  <c r="I34" i="23"/>
  <c r="E34" i="23"/>
  <c r="I33" i="23"/>
  <c r="E33" i="23"/>
  <c r="I32" i="23"/>
  <c r="E32" i="23"/>
  <c r="I31" i="23"/>
  <c r="E31" i="23"/>
  <c r="I30" i="23"/>
  <c r="I29" i="23"/>
  <c r="E29" i="23"/>
  <c r="I28" i="23"/>
  <c r="E28" i="23"/>
  <c r="I27" i="23"/>
  <c r="E27" i="23"/>
  <c r="I26" i="23"/>
  <c r="E26" i="23"/>
  <c r="I25" i="23"/>
  <c r="E25" i="23"/>
  <c r="I24" i="23"/>
  <c r="E24" i="23"/>
  <c r="I23" i="23"/>
  <c r="E23" i="23"/>
  <c r="I22" i="23"/>
  <c r="E22" i="23"/>
  <c r="I21" i="23"/>
  <c r="E21" i="23"/>
  <c r="I20" i="23"/>
  <c r="E20" i="23"/>
  <c r="I19" i="23"/>
  <c r="E19" i="23"/>
  <c r="I18" i="23"/>
  <c r="E18" i="23"/>
  <c r="I17" i="23"/>
  <c r="E17" i="23"/>
  <c r="I16" i="23"/>
  <c r="E16" i="23"/>
  <c r="I15" i="23"/>
  <c r="E15" i="23"/>
  <c r="I14" i="23"/>
  <c r="E14" i="23"/>
  <c r="I13" i="23"/>
  <c r="E13" i="23"/>
  <c r="I12" i="23"/>
  <c r="E12" i="23"/>
  <c r="I11" i="23"/>
  <c r="E11" i="23"/>
  <c r="I10" i="23"/>
  <c r="E10" i="23"/>
  <c r="H9" i="23"/>
  <c r="I86" i="23" l="1"/>
  <c r="D104" i="23"/>
  <c r="C89" i="23" s="1"/>
  <c r="E89" i="23" s="1"/>
  <c r="E90" i="23" s="1"/>
  <c r="I87" i="23"/>
  <c r="H84" i="23"/>
  <c r="I25" i="8"/>
  <c r="I27" i="8" s="1"/>
  <c r="H24" i="8"/>
  <c r="I24" i="8" s="1"/>
  <c r="E24" i="8"/>
  <c r="I23" i="8"/>
  <c r="E22" i="8"/>
  <c r="I21" i="8"/>
  <c r="E19" i="8"/>
  <c r="E14" i="4" l="1"/>
  <c r="I14" i="4"/>
  <c r="H21" i="2"/>
  <c r="H20" i="2"/>
  <c r="H16" i="2"/>
  <c r="H15" i="2"/>
  <c r="I10" i="4"/>
  <c r="I11" i="4"/>
  <c r="I12" i="4"/>
  <c r="I13" i="4"/>
  <c r="I15" i="4"/>
  <c r="G15" i="4"/>
  <c r="D116" i="21"/>
  <c r="D117" i="21"/>
  <c r="D118" i="21"/>
  <c r="D119" i="21"/>
  <c r="D120" i="21"/>
  <c r="D121" i="21"/>
  <c r="D122" i="21"/>
  <c r="D123" i="21"/>
  <c r="D124" i="21"/>
  <c r="D125" i="21"/>
  <c r="D126" i="21"/>
  <c r="C113" i="21"/>
  <c r="C110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H28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H104" i="21"/>
  <c r="I104" i="21"/>
  <c r="I105" i="21"/>
  <c r="E110" i="21"/>
  <c r="E111" i="21"/>
  <c r="I107" i="21"/>
  <c r="I108" i="21"/>
  <c r="H105" i="21"/>
  <c r="G105" i="21"/>
  <c r="E103" i="21"/>
  <c r="E100" i="21"/>
  <c r="E98" i="21"/>
  <c r="E96" i="21"/>
  <c r="E93" i="21"/>
  <c r="E92" i="21"/>
  <c r="E90" i="21"/>
  <c r="E88" i="21"/>
  <c r="E86" i="21"/>
  <c r="E85" i="21"/>
  <c r="E83" i="21"/>
  <c r="E81" i="21"/>
  <c r="E80" i="21"/>
  <c r="E79" i="21"/>
  <c r="E78" i="21"/>
  <c r="E77" i="21"/>
  <c r="E76" i="21"/>
  <c r="E75" i="21"/>
  <c r="E74" i="21"/>
  <c r="E72" i="21"/>
  <c r="E71" i="21"/>
  <c r="E70" i="21"/>
  <c r="E68" i="21"/>
  <c r="E67" i="21"/>
  <c r="E66" i="21"/>
  <c r="E65" i="21"/>
  <c r="E64" i="21"/>
  <c r="E63" i="21"/>
  <c r="E62" i="21"/>
  <c r="L61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H9" i="21"/>
  <c r="I64" i="20"/>
  <c r="I95" i="20"/>
  <c r="I97" i="20"/>
  <c r="I93" i="20"/>
  <c r="I92" i="20"/>
  <c r="H92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8" i="20"/>
  <c r="I89" i="20"/>
  <c r="I90" i="20"/>
  <c r="I91" i="20"/>
  <c r="I94" i="20"/>
  <c r="I96" i="20"/>
  <c r="E60" i="20"/>
  <c r="H91" i="20"/>
  <c r="H90" i="20"/>
  <c r="H89" i="20"/>
  <c r="H86" i="20"/>
  <c r="H84" i="20"/>
  <c r="H80" i="20"/>
  <c r="H77" i="20"/>
  <c r="H74" i="20"/>
  <c r="H73" i="20"/>
  <c r="H61" i="20"/>
  <c r="E77" i="20"/>
  <c r="E78" i="20"/>
  <c r="E79" i="20"/>
  <c r="E80" i="20"/>
  <c r="E83" i="20"/>
  <c r="E84" i="20"/>
  <c r="E87" i="20"/>
  <c r="E94" i="20"/>
  <c r="E95" i="20"/>
  <c r="E96" i="20"/>
  <c r="D108" i="20"/>
  <c r="D109" i="20"/>
  <c r="D110" i="20"/>
  <c r="D111" i="20"/>
  <c r="D112" i="20"/>
  <c r="D113" i="20"/>
  <c r="D114" i="20"/>
  <c r="D115" i="20"/>
  <c r="D116" i="20"/>
  <c r="D117" i="20"/>
  <c r="D118" i="20"/>
  <c r="C105" i="20"/>
  <c r="C102" i="20"/>
  <c r="I10" i="20"/>
  <c r="I11" i="20"/>
  <c r="I87" i="20"/>
  <c r="E102" i="20"/>
  <c r="E103" i="20"/>
  <c r="I99" i="20"/>
  <c r="I100" i="20"/>
  <c r="H97" i="20"/>
  <c r="G97" i="20"/>
  <c r="E67" i="20"/>
  <c r="E66" i="20"/>
  <c r="E65" i="20"/>
  <c r="E64" i="20"/>
  <c r="E63" i="20"/>
  <c r="L62" i="20"/>
  <c r="E62" i="20"/>
  <c r="E61" i="20"/>
  <c r="E59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H9" i="20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D34" i="19"/>
  <c r="D35" i="19"/>
  <c r="D36" i="19"/>
  <c r="D37" i="19"/>
  <c r="D38" i="19"/>
  <c r="D39" i="19"/>
  <c r="D40" i="19"/>
  <c r="D41" i="19"/>
  <c r="D42" i="19"/>
  <c r="D43" i="19"/>
  <c r="D44" i="19"/>
  <c r="C31" i="19"/>
  <c r="C28" i="19"/>
  <c r="E28" i="19"/>
  <c r="E29" i="19"/>
  <c r="I25" i="19"/>
  <c r="H23" i="19"/>
  <c r="G23" i="19"/>
  <c r="H9" i="19"/>
  <c r="I60" i="18"/>
  <c r="I57" i="18"/>
  <c r="H57" i="18"/>
  <c r="E57" i="18"/>
  <c r="H56" i="18"/>
  <c r="I56" i="18"/>
  <c r="E56" i="18"/>
  <c r="I55" i="18"/>
  <c r="I54" i="18"/>
  <c r="E54" i="18"/>
  <c r="I53" i="18"/>
  <c r="I52" i="18"/>
  <c r="E52" i="18"/>
  <c r="I43" i="18"/>
  <c r="E43" i="18"/>
  <c r="G60" i="18"/>
  <c r="H60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4" i="18"/>
  <c r="H45" i="18"/>
  <c r="I45" i="18"/>
  <c r="I46" i="18"/>
  <c r="I47" i="18"/>
  <c r="I48" i="18"/>
  <c r="I49" i="18"/>
  <c r="I50" i="18"/>
  <c r="I51" i="18"/>
  <c r="H58" i="18"/>
  <c r="I58" i="18"/>
  <c r="I59" i="18"/>
  <c r="E58" i="18"/>
  <c r="E51" i="18"/>
  <c r="E50" i="18"/>
  <c r="E49" i="18"/>
  <c r="E47" i="18"/>
  <c r="E44" i="18"/>
  <c r="D71" i="18"/>
  <c r="D72" i="18"/>
  <c r="D73" i="18"/>
  <c r="D74" i="18"/>
  <c r="D75" i="18"/>
  <c r="D76" i="18"/>
  <c r="D77" i="18"/>
  <c r="D78" i="18"/>
  <c r="D79" i="18"/>
  <c r="D80" i="18"/>
  <c r="D81" i="18"/>
  <c r="C65" i="18"/>
  <c r="C68" i="18"/>
  <c r="E65" i="18"/>
  <c r="E42" i="18"/>
  <c r="E39" i="18"/>
  <c r="E38" i="18"/>
  <c r="E36" i="18"/>
  <c r="E35" i="18"/>
  <c r="E27" i="18"/>
  <c r="E28" i="18"/>
  <c r="E29" i="18"/>
  <c r="E30" i="18"/>
  <c r="E31" i="18"/>
  <c r="E32" i="18"/>
  <c r="E33" i="18"/>
  <c r="E66" i="18"/>
  <c r="I62" i="18"/>
  <c r="I63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H9" i="18"/>
  <c r="I105" i="17"/>
  <c r="C113" i="17"/>
  <c r="I30" i="17"/>
  <c r="E30" i="17"/>
  <c r="I29" i="17"/>
  <c r="E29" i="17"/>
  <c r="H28" i="17"/>
  <c r="I28" i="17"/>
  <c r="E28" i="17"/>
  <c r="I27" i="17"/>
  <c r="I26" i="17"/>
  <c r="E27" i="17"/>
  <c r="I19" i="17"/>
  <c r="I20" i="17"/>
  <c r="I21" i="17"/>
  <c r="I22" i="17"/>
  <c r="I23" i="17"/>
  <c r="I24" i="17"/>
  <c r="I25" i="17"/>
  <c r="E19" i="17"/>
  <c r="E20" i="17"/>
  <c r="E21" i="17"/>
  <c r="E22" i="17"/>
  <c r="E23" i="17"/>
  <c r="E24" i="17"/>
  <c r="E25" i="17"/>
  <c r="E26" i="17"/>
  <c r="I18" i="17"/>
  <c r="E18" i="17"/>
  <c r="I17" i="17"/>
  <c r="E17" i="17"/>
  <c r="I16" i="17"/>
  <c r="E16" i="17"/>
  <c r="H104" i="17"/>
  <c r="E103" i="17"/>
  <c r="E100" i="17"/>
  <c r="E98" i="17"/>
  <c r="E96" i="17"/>
  <c r="E93" i="17"/>
  <c r="E92" i="17"/>
  <c r="E90" i="17"/>
  <c r="I104" i="17"/>
  <c r="I103" i="17"/>
  <c r="I102" i="17"/>
  <c r="I101" i="17"/>
  <c r="I100" i="17"/>
  <c r="I89" i="17"/>
  <c r="I90" i="17"/>
  <c r="I91" i="17"/>
  <c r="I92" i="17"/>
  <c r="I93" i="17"/>
  <c r="I94" i="17"/>
  <c r="I95" i="17"/>
  <c r="I96" i="17"/>
  <c r="I97" i="17"/>
  <c r="I98" i="17"/>
  <c r="I99" i="17"/>
  <c r="G105" i="17"/>
  <c r="I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70" i="17"/>
  <c r="E71" i="17"/>
  <c r="E72" i="17"/>
  <c r="E74" i="17"/>
  <c r="E75" i="17"/>
  <c r="E76" i="17"/>
  <c r="E77" i="17"/>
  <c r="E78" i="17"/>
  <c r="E79" i="17"/>
  <c r="E80" i="17"/>
  <c r="E81" i="17"/>
  <c r="E83" i="17"/>
  <c r="E85" i="17"/>
  <c r="E86" i="17"/>
  <c r="E88" i="17"/>
  <c r="D116" i="17"/>
  <c r="D117" i="17"/>
  <c r="D118" i="17"/>
  <c r="D119" i="17"/>
  <c r="D120" i="17"/>
  <c r="D121" i="17"/>
  <c r="D122" i="17"/>
  <c r="D123" i="17"/>
  <c r="D124" i="17"/>
  <c r="D125" i="17"/>
  <c r="D126" i="17"/>
  <c r="C110" i="17"/>
  <c r="I10" i="17"/>
  <c r="I11" i="17"/>
  <c r="I12" i="17"/>
  <c r="I13" i="17"/>
  <c r="I14" i="17"/>
  <c r="I15" i="17"/>
  <c r="I31" i="17"/>
  <c r="I32" i="17"/>
  <c r="I33" i="17"/>
  <c r="I34" i="17"/>
  <c r="I35" i="17"/>
  <c r="I36" i="17"/>
  <c r="I37" i="17"/>
  <c r="I38" i="17"/>
  <c r="I39" i="17"/>
  <c r="I40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E110" i="17"/>
  <c r="E111" i="17"/>
  <c r="I107" i="17"/>
  <c r="I108" i="17"/>
  <c r="H105" i="17"/>
  <c r="L61" i="17"/>
  <c r="E41" i="17"/>
  <c r="E40" i="17"/>
  <c r="E39" i="17"/>
  <c r="E38" i="17"/>
  <c r="E37" i="17"/>
  <c r="E36" i="17"/>
  <c r="E35" i="17"/>
  <c r="E34" i="17"/>
  <c r="E33" i="17"/>
  <c r="E32" i="17"/>
  <c r="E31" i="17"/>
  <c r="E15" i="17"/>
  <c r="E14" i="17"/>
  <c r="E13" i="17"/>
  <c r="E12" i="17"/>
  <c r="E11" i="17"/>
  <c r="E10" i="17"/>
  <c r="H9" i="17"/>
  <c r="I75" i="16"/>
  <c r="I76" i="16"/>
  <c r="I77" i="16"/>
  <c r="I74" i="16"/>
  <c r="C86" i="16"/>
  <c r="H10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30" i="16"/>
  <c r="I31" i="16"/>
  <c r="I32" i="16"/>
  <c r="I33" i="16"/>
  <c r="I34" i="16"/>
  <c r="I35" i="16"/>
  <c r="I36" i="16"/>
  <c r="I37" i="16"/>
  <c r="I38" i="16"/>
  <c r="H39" i="16"/>
  <c r="I39" i="16"/>
  <c r="I40" i="16"/>
  <c r="H41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H61" i="16"/>
  <c r="I61" i="16"/>
  <c r="I62" i="16"/>
  <c r="H63" i="16"/>
  <c r="I63" i="16"/>
  <c r="H64" i="16"/>
  <c r="I64" i="16"/>
  <c r="H65" i="16"/>
  <c r="I65" i="16"/>
  <c r="H66" i="16"/>
  <c r="I66" i="16"/>
  <c r="I67" i="16"/>
  <c r="I68" i="16"/>
  <c r="I69" i="16"/>
  <c r="I70" i="16"/>
  <c r="H71" i="16"/>
  <c r="I71" i="16"/>
  <c r="H72" i="16"/>
  <c r="I72" i="16"/>
  <c r="I73" i="16"/>
  <c r="I78" i="16"/>
  <c r="D90" i="16"/>
  <c r="D96" i="16"/>
  <c r="D99" i="16"/>
  <c r="C83" i="16"/>
  <c r="E83" i="16"/>
  <c r="E53" i="16"/>
  <c r="E60" i="16"/>
  <c r="E59" i="16"/>
  <c r="E58" i="16"/>
  <c r="E57" i="16"/>
  <c r="H78" i="16"/>
  <c r="G78" i="16"/>
  <c r="E77" i="16"/>
  <c r="E75" i="16"/>
  <c r="E73" i="16"/>
  <c r="E72" i="16"/>
  <c r="E68" i="16"/>
  <c r="E67" i="16"/>
  <c r="E66" i="16"/>
  <c r="E23" i="16"/>
  <c r="E24" i="16"/>
  <c r="E25" i="16"/>
  <c r="E26" i="16"/>
  <c r="E27" i="16"/>
  <c r="E28" i="16"/>
  <c r="E29" i="16"/>
  <c r="E31" i="16"/>
  <c r="E36" i="16"/>
  <c r="E37" i="16"/>
  <c r="E38" i="16"/>
  <c r="E39" i="16"/>
  <c r="E41" i="16"/>
  <c r="E42" i="16"/>
  <c r="E43" i="16"/>
  <c r="E45" i="16"/>
  <c r="E46" i="16"/>
  <c r="E47" i="16"/>
  <c r="E48" i="16"/>
  <c r="E49" i="16"/>
  <c r="E50" i="16"/>
  <c r="E51" i="16"/>
  <c r="E52" i="16"/>
  <c r="E61" i="16"/>
  <c r="E63" i="16"/>
  <c r="E64" i="16"/>
  <c r="E65" i="16"/>
  <c r="E71" i="16"/>
  <c r="D89" i="16"/>
  <c r="D91" i="16"/>
  <c r="D92" i="16"/>
  <c r="D93" i="16"/>
  <c r="D94" i="16"/>
  <c r="D95" i="16"/>
  <c r="D97" i="16"/>
  <c r="D98" i="16"/>
  <c r="E84" i="16"/>
  <c r="I80" i="16"/>
  <c r="I81" i="16"/>
  <c r="L49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H9" i="16"/>
  <c r="I83" i="15"/>
  <c r="I80" i="15"/>
  <c r="E80" i="15"/>
  <c r="I79" i="15"/>
  <c r="E79" i="15"/>
  <c r="I78" i="15"/>
  <c r="C91" i="15"/>
  <c r="I77" i="15"/>
  <c r="I76" i="15"/>
  <c r="I75" i="15"/>
  <c r="G74" i="15"/>
  <c r="I73" i="15"/>
  <c r="E73" i="15"/>
  <c r="I72" i="15"/>
  <c r="E72" i="15"/>
  <c r="H71" i="15"/>
  <c r="I71" i="15"/>
  <c r="I70" i="15"/>
  <c r="H69" i="15"/>
  <c r="I69" i="15"/>
  <c r="H68" i="15"/>
  <c r="I68" i="15"/>
  <c r="H67" i="15"/>
  <c r="I67" i="15"/>
  <c r="H66" i="15"/>
  <c r="I66" i="15"/>
  <c r="I52" i="15"/>
  <c r="I53" i="15"/>
  <c r="I54" i="15"/>
  <c r="I55" i="15"/>
  <c r="I56" i="15"/>
  <c r="I57" i="15"/>
  <c r="I58" i="15"/>
  <c r="E52" i="15"/>
  <c r="E53" i="15"/>
  <c r="E54" i="15"/>
  <c r="E55" i="15"/>
  <c r="E56" i="15"/>
  <c r="E57" i="15"/>
  <c r="E58" i="15"/>
  <c r="H42" i="15"/>
  <c r="I42" i="15"/>
  <c r="H24" i="15"/>
  <c r="H21" i="15"/>
  <c r="I21" i="15"/>
  <c r="H18" i="15"/>
  <c r="I63" i="15"/>
  <c r="E18" i="15"/>
  <c r="E19" i="15"/>
  <c r="E20" i="15"/>
  <c r="E21" i="15"/>
  <c r="E22" i="15"/>
  <c r="E24" i="15"/>
  <c r="E25" i="15"/>
  <c r="E26" i="15"/>
  <c r="E27" i="15"/>
  <c r="E28" i="15"/>
  <c r="E30" i="15"/>
  <c r="E31" i="15"/>
  <c r="E32" i="15"/>
  <c r="E33" i="15"/>
  <c r="E34" i="15"/>
  <c r="E35" i="15"/>
  <c r="E36" i="15"/>
  <c r="E37" i="15"/>
  <c r="E39" i="15"/>
  <c r="E40" i="15"/>
  <c r="E42" i="15"/>
  <c r="E45" i="15"/>
  <c r="E46" i="15"/>
  <c r="E47" i="15"/>
  <c r="E48" i="15"/>
  <c r="E49" i="15"/>
  <c r="E50" i="15"/>
  <c r="E51" i="15"/>
  <c r="E59" i="15"/>
  <c r="E61" i="15"/>
  <c r="E64" i="15"/>
  <c r="E67" i="15"/>
  <c r="E68" i="15"/>
  <c r="E69" i="15"/>
  <c r="E82" i="15"/>
  <c r="D103" i="15"/>
  <c r="D102" i="15"/>
  <c r="D101" i="15"/>
  <c r="D100" i="15"/>
  <c r="D99" i="15"/>
  <c r="D98" i="15"/>
  <c r="D97" i="15"/>
  <c r="D96" i="15"/>
  <c r="D95" i="15"/>
  <c r="D94" i="15"/>
  <c r="I82" i="15"/>
  <c r="I81" i="15"/>
  <c r="I65" i="15"/>
  <c r="I64" i="15"/>
  <c r="I62" i="15"/>
  <c r="I61" i="15"/>
  <c r="I60" i="15"/>
  <c r="I59" i="15"/>
  <c r="I51" i="15"/>
  <c r="I50" i="15"/>
  <c r="L49" i="15"/>
  <c r="I49" i="15"/>
  <c r="I48" i="15"/>
  <c r="I47" i="15"/>
  <c r="I46" i="15"/>
  <c r="I45" i="15"/>
  <c r="H44" i="15"/>
  <c r="I44" i="15"/>
  <c r="I43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2" i="15"/>
  <c r="I20" i="15"/>
  <c r="I19" i="15"/>
  <c r="I18" i="15"/>
  <c r="I17" i="15"/>
  <c r="E17" i="15"/>
  <c r="I16" i="15"/>
  <c r="E16" i="15"/>
  <c r="I15" i="15"/>
  <c r="E15" i="15"/>
  <c r="I14" i="15"/>
  <c r="E14" i="15"/>
  <c r="I13" i="15"/>
  <c r="E13" i="15"/>
  <c r="I12" i="15"/>
  <c r="E12" i="15"/>
  <c r="I11" i="15"/>
  <c r="E11" i="15"/>
  <c r="I10" i="15"/>
  <c r="E10" i="15"/>
  <c r="H9" i="15"/>
  <c r="D104" i="15"/>
  <c r="C88" i="15"/>
  <c r="G86" i="14"/>
  <c r="I84" i="14"/>
  <c r="E84" i="14"/>
  <c r="I83" i="14"/>
  <c r="H83" i="14"/>
  <c r="E83" i="14"/>
  <c r="E80" i="14"/>
  <c r="H79" i="14"/>
  <c r="E79" i="14"/>
  <c r="E78" i="14"/>
  <c r="E77" i="14"/>
  <c r="E76" i="14"/>
  <c r="E75" i="14"/>
  <c r="E67" i="14"/>
  <c r="E68" i="14"/>
  <c r="E69" i="14"/>
  <c r="E70" i="14"/>
  <c r="E71" i="14"/>
  <c r="I49" i="14"/>
  <c r="I86" i="14"/>
  <c r="I82" i="14"/>
  <c r="I81" i="14"/>
  <c r="H81" i="14"/>
  <c r="H80" i="14"/>
  <c r="I80" i="14"/>
  <c r="I79" i="14"/>
  <c r="I78" i="14"/>
  <c r="I77" i="14"/>
  <c r="I76" i="14"/>
  <c r="I75" i="14"/>
  <c r="I74" i="14"/>
  <c r="I67" i="14"/>
  <c r="I68" i="14"/>
  <c r="I69" i="14"/>
  <c r="I70" i="14"/>
  <c r="I71" i="14"/>
  <c r="H65" i="14"/>
  <c r="H44" i="14"/>
  <c r="H46" i="14"/>
  <c r="I46" i="14"/>
  <c r="E46" i="14"/>
  <c r="E47" i="14"/>
  <c r="E48" i="14"/>
  <c r="E49" i="14"/>
  <c r="E50" i="14"/>
  <c r="E51" i="14"/>
  <c r="E52" i="14"/>
  <c r="E54" i="14"/>
  <c r="E56" i="14"/>
  <c r="E57" i="14"/>
  <c r="E60" i="14"/>
  <c r="E61" i="14"/>
  <c r="E62" i="14"/>
  <c r="E64" i="14"/>
  <c r="E66" i="14"/>
  <c r="D105" i="14"/>
  <c r="D104" i="14"/>
  <c r="D103" i="14"/>
  <c r="D102" i="14"/>
  <c r="D101" i="14"/>
  <c r="D100" i="14"/>
  <c r="D99" i="14"/>
  <c r="D98" i="14"/>
  <c r="D97" i="14"/>
  <c r="D96" i="14"/>
  <c r="C93" i="14"/>
  <c r="I73" i="14"/>
  <c r="E73" i="14"/>
  <c r="I72" i="14"/>
  <c r="E72" i="14"/>
  <c r="I65" i="14"/>
  <c r="I64" i="14"/>
  <c r="I63" i="14"/>
  <c r="I62" i="14"/>
  <c r="I61" i="14"/>
  <c r="I60" i="14"/>
  <c r="I59" i="14"/>
  <c r="I58" i="14"/>
  <c r="I57" i="14"/>
  <c r="I56" i="14"/>
  <c r="H55" i="14"/>
  <c r="I55" i="14"/>
  <c r="I54" i="14"/>
  <c r="I53" i="14"/>
  <c r="I52" i="14"/>
  <c r="I51" i="14"/>
  <c r="I50" i="14"/>
  <c r="L49" i="14"/>
  <c r="I48" i="14"/>
  <c r="I47" i="14"/>
  <c r="I45" i="14"/>
  <c r="I44" i="14"/>
  <c r="E44" i="14"/>
  <c r="I43" i="14"/>
  <c r="E43" i="14"/>
  <c r="I42" i="14"/>
  <c r="E42" i="14"/>
  <c r="I41" i="14"/>
  <c r="E41" i="14"/>
  <c r="I40" i="14"/>
  <c r="I39" i="14"/>
  <c r="I38" i="14"/>
  <c r="E38" i="14"/>
  <c r="I37" i="14"/>
  <c r="E37" i="14"/>
  <c r="I36" i="14"/>
  <c r="I35" i="14"/>
  <c r="E35" i="14"/>
  <c r="I34" i="14"/>
  <c r="E34" i="14"/>
  <c r="I33" i="14"/>
  <c r="E33" i="14"/>
  <c r="I32" i="14"/>
  <c r="E32" i="14"/>
  <c r="I31" i="14"/>
  <c r="E31" i="14"/>
  <c r="I30" i="14"/>
  <c r="E30" i="14"/>
  <c r="I29" i="14"/>
  <c r="E29" i="14"/>
  <c r="I28" i="14"/>
  <c r="E28" i="14"/>
  <c r="I27" i="14"/>
  <c r="E27" i="14"/>
  <c r="I26" i="14"/>
  <c r="E26" i="14"/>
  <c r="I25" i="14"/>
  <c r="I24" i="14"/>
  <c r="I23" i="14"/>
  <c r="E23" i="14"/>
  <c r="I22" i="14"/>
  <c r="I21" i="14"/>
  <c r="E21" i="14"/>
  <c r="I20" i="14"/>
  <c r="E20" i="14"/>
  <c r="I19" i="14"/>
  <c r="E19" i="14"/>
  <c r="I18" i="14"/>
  <c r="E18" i="14"/>
  <c r="I17" i="14"/>
  <c r="E17" i="14"/>
  <c r="I16" i="14"/>
  <c r="E16" i="14"/>
  <c r="I15" i="14"/>
  <c r="E15" i="14"/>
  <c r="I14" i="14"/>
  <c r="E14" i="14"/>
  <c r="I13" i="14"/>
  <c r="E13" i="14"/>
  <c r="I12" i="14"/>
  <c r="E12" i="14"/>
  <c r="I11" i="14"/>
  <c r="E11" i="14"/>
  <c r="I10" i="14"/>
  <c r="E10" i="14"/>
  <c r="H9" i="14"/>
  <c r="D106" i="14"/>
  <c r="C91" i="14"/>
  <c r="I66" i="14"/>
  <c r="I90" i="12"/>
  <c r="H83" i="12"/>
  <c r="I83" i="12"/>
  <c r="I82" i="12"/>
  <c r="E83" i="12"/>
  <c r="E84" i="12"/>
  <c r="G66" i="12"/>
  <c r="H66" i="12"/>
  <c r="H55" i="12"/>
  <c r="H49" i="12"/>
  <c r="I49" i="12"/>
  <c r="E63" i="12"/>
  <c r="E64" i="12"/>
  <c r="E66" i="12"/>
  <c r="E68" i="12"/>
  <c r="E69" i="12"/>
  <c r="E70" i="12"/>
  <c r="E71" i="12"/>
  <c r="E72" i="12"/>
  <c r="E74" i="12"/>
  <c r="E75" i="12"/>
  <c r="E76" i="12"/>
  <c r="E77" i="12"/>
  <c r="E78" i="12"/>
  <c r="E79" i="12"/>
  <c r="E81" i="12"/>
  <c r="E86" i="12"/>
  <c r="E87" i="12"/>
  <c r="E44" i="12"/>
  <c r="E45" i="12"/>
  <c r="E47" i="12"/>
  <c r="E48" i="12"/>
  <c r="E49" i="12"/>
  <c r="E50" i="12"/>
  <c r="E53" i="12"/>
  <c r="E54" i="12"/>
  <c r="E56" i="12"/>
  <c r="E58" i="12"/>
  <c r="E60" i="12"/>
  <c r="E61" i="12"/>
  <c r="E62" i="12"/>
  <c r="E33" i="12"/>
  <c r="E34" i="12"/>
  <c r="E35" i="12"/>
  <c r="E36" i="12"/>
  <c r="D107" i="13"/>
  <c r="D106" i="13"/>
  <c r="D105" i="13"/>
  <c r="D104" i="13"/>
  <c r="D103" i="13"/>
  <c r="D102" i="13"/>
  <c r="D101" i="13"/>
  <c r="D100" i="13"/>
  <c r="D99" i="13"/>
  <c r="D98" i="13"/>
  <c r="D108" i="13"/>
  <c r="C93" i="13"/>
  <c r="C95" i="13"/>
  <c r="G88" i="13"/>
  <c r="I86" i="13"/>
  <c r="E86" i="13"/>
  <c r="I85" i="13"/>
  <c r="E85" i="13"/>
  <c r="I84" i="13"/>
  <c r="E84" i="13"/>
  <c r="I83" i="13"/>
  <c r="E83" i="13"/>
  <c r="I82" i="13"/>
  <c r="H81" i="13"/>
  <c r="I81" i="13"/>
  <c r="E81" i="13"/>
  <c r="I80" i="13"/>
  <c r="H80" i="13"/>
  <c r="E80" i="13"/>
  <c r="I79" i="13"/>
  <c r="I78" i="13"/>
  <c r="I77" i="13"/>
  <c r="E77" i="13"/>
  <c r="I76" i="13"/>
  <c r="E76" i="13"/>
  <c r="I75" i="13"/>
  <c r="E75" i="13"/>
  <c r="I74" i="13"/>
  <c r="E74" i="13"/>
  <c r="I73" i="13"/>
  <c r="E73" i="13"/>
  <c r="I72" i="13"/>
  <c r="E72" i="13"/>
  <c r="I71" i="13"/>
  <c r="E71" i="13"/>
  <c r="I70" i="13"/>
  <c r="I69" i="13"/>
  <c r="I68" i="13"/>
  <c r="I67" i="13"/>
  <c r="E67" i="13"/>
  <c r="I66" i="13"/>
  <c r="E66" i="13"/>
  <c r="I65" i="13"/>
  <c r="E65" i="13"/>
  <c r="I64" i="13"/>
  <c r="E64" i="13"/>
  <c r="I63" i="13"/>
  <c r="H62" i="13"/>
  <c r="I62" i="13"/>
  <c r="H61" i="13"/>
  <c r="I61" i="13"/>
  <c r="I60" i="13"/>
  <c r="E60" i="13"/>
  <c r="I59" i="13"/>
  <c r="E59" i="13"/>
  <c r="I58" i="13"/>
  <c r="E58" i="13"/>
  <c r="I57" i="13"/>
  <c r="E57" i="13"/>
  <c r="I56" i="13"/>
  <c r="E56" i="13"/>
  <c r="I55" i="13"/>
  <c r="E55" i="13"/>
  <c r="I54" i="13"/>
  <c r="E54" i="13"/>
  <c r="I53" i="13"/>
  <c r="E53" i="13"/>
  <c r="I52" i="13"/>
  <c r="E52" i="13"/>
  <c r="I51" i="13"/>
  <c r="I50" i="13"/>
  <c r="I49" i="13"/>
  <c r="I48" i="13"/>
  <c r="H48" i="13"/>
  <c r="I47" i="13"/>
  <c r="E47" i="13"/>
  <c r="I46" i="13"/>
  <c r="H46" i="13"/>
  <c r="I45" i="13"/>
  <c r="E45" i="13"/>
  <c r="I44" i="13"/>
  <c r="I43" i="13"/>
  <c r="E43" i="13"/>
  <c r="I42" i="13"/>
  <c r="E42" i="13"/>
  <c r="I41" i="13"/>
  <c r="E41" i="13"/>
  <c r="I40" i="13"/>
  <c r="E40" i="13"/>
  <c r="I39" i="13"/>
  <c r="E39" i="13"/>
  <c r="I38" i="13"/>
  <c r="E38" i="13"/>
  <c r="I37" i="13"/>
  <c r="E37" i="13"/>
  <c r="I36" i="13"/>
  <c r="E36" i="13"/>
  <c r="I35" i="13"/>
  <c r="E35" i="13"/>
  <c r="I34" i="13"/>
  <c r="I33" i="13"/>
  <c r="I32" i="13"/>
  <c r="E32" i="13"/>
  <c r="I31" i="13"/>
  <c r="E31" i="13"/>
  <c r="I30" i="13"/>
  <c r="E30" i="13"/>
  <c r="I29" i="13"/>
  <c r="E29" i="13"/>
  <c r="I28" i="13"/>
  <c r="E28" i="13"/>
  <c r="I27" i="13"/>
  <c r="E27" i="13"/>
  <c r="I26" i="13"/>
  <c r="E26" i="13"/>
  <c r="I25" i="13"/>
  <c r="E25" i="13"/>
  <c r="I24" i="13"/>
  <c r="E24" i="13"/>
  <c r="I23" i="13"/>
  <c r="E23" i="13"/>
  <c r="I22" i="13"/>
  <c r="E22" i="13"/>
  <c r="I21" i="13"/>
  <c r="E21" i="13"/>
  <c r="I20" i="13"/>
  <c r="E20" i="13"/>
  <c r="I19" i="13"/>
  <c r="E19" i="13"/>
  <c r="I18" i="13"/>
  <c r="E18" i="13"/>
  <c r="I17" i="13"/>
  <c r="E17" i="13"/>
  <c r="I16" i="13"/>
  <c r="E16" i="13"/>
  <c r="I15" i="13"/>
  <c r="E15" i="13"/>
  <c r="I14" i="13"/>
  <c r="E14" i="13"/>
  <c r="I13" i="13"/>
  <c r="E13" i="13"/>
  <c r="I12" i="13"/>
  <c r="E12" i="13"/>
  <c r="I11" i="13"/>
  <c r="E11" i="13"/>
  <c r="I10" i="13"/>
  <c r="E10" i="13"/>
  <c r="H9" i="13"/>
  <c r="I88" i="14"/>
  <c r="I89" i="14"/>
  <c r="I88" i="13"/>
  <c r="I90" i="13"/>
  <c r="I91" i="13"/>
  <c r="E91" i="14"/>
  <c r="E92" i="14"/>
  <c r="E93" i="13"/>
  <c r="E94" i="13"/>
  <c r="I79" i="12"/>
  <c r="E88" i="12"/>
  <c r="H80" i="12"/>
  <c r="I80" i="12"/>
  <c r="I87" i="12"/>
  <c r="H81" i="12"/>
  <c r="I81" i="12"/>
  <c r="I78" i="12"/>
  <c r="I77" i="12"/>
  <c r="I75" i="12"/>
  <c r="I76" i="12"/>
  <c r="H62" i="12"/>
  <c r="I62" i="12"/>
  <c r="H61" i="12"/>
  <c r="I61" i="12"/>
  <c r="I48" i="12"/>
  <c r="I46" i="12"/>
  <c r="I42" i="12"/>
  <c r="E42" i="12"/>
  <c r="I41" i="12"/>
  <c r="E41" i="12"/>
  <c r="I40" i="12"/>
  <c r="E40" i="12"/>
  <c r="E39" i="12"/>
  <c r="I39" i="12"/>
  <c r="I38" i="12"/>
  <c r="I37" i="12"/>
  <c r="E38" i="12"/>
  <c r="E37" i="12"/>
  <c r="E43" i="12"/>
  <c r="E29" i="12"/>
  <c r="E30" i="12"/>
  <c r="E31" i="12"/>
  <c r="E32" i="12"/>
  <c r="D109" i="12"/>
  <c r="D108" i="12"/>
  <c r="D107" i="12"/>
  <c r="D106" i="12"/>
  <c r="D105" i="12"/>
  <c r="D104" i="12"/>
  <c r="D103" i="12"/>
  <c r="D102" i="12"/>
  <c r="D101" i="12"/>
  <c r="D100" i="12"/>
  <c r="C97" i="12"/>
  <c r="G90" i="12"/>
  <c r="I88" i="12"/>
  <c r="I86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0" i="12"/>
  <c r="I59" i="12"/>
  <c r="I58" i="12"/>
  <c r="I57" i="12"/>
  <c r="I56" i="12"/>
  <c r="I55" i="12"/>
  <c r="I54" i="12"/>
  <c r="I53" i="12"/>
  <c r="I52" i="12"/>
  <c r="I51" i="12"/>
  <c r="I50" i="12"/>
  <c r="I47" i="12"/>
  <c r="I45" i="12"/>
  <c r="I44" i="12"/>
  <c r="I43" i="12"/>
  <c r="I36" i="12"/>
  <c r="I35" i="12"/>
  <c r="I34" i="12"/>
  <c r="I33" i="12"/>
  <c r="I32" i="12"/>
  <c r="I31" i="12"/>
  <c r="I30" i="12"/>
  <c r="I29" i="12"/>
  <c r="I28" i="12"/>
  <c r="E28" i="12"/>
  <c r="I27" i="12"/>
  <c r="E27" i="12"/>
  <c r="I26" i="12"/>
  <c r="E26" i="12"/>
  <c r="I25" i="12"/>
  <c r="E25" i="12"/>
  <c r="I24" i="12"/>
  <c r="E24" i="12"/>
  <c r="I23" i="12"/>
  <c r="E23" i="12"/>
  <c r="I22" i="12"/>
  <c r="E22" i="12"/>
  <c r="I21" i="12"/>
  <c r="E21" i="12"/>
  <c r="I20" i="12"/>
  <c r="E20" i="12"/>
  <c r="I19" i="12"/>
  <c r="E19" i="12"/>
  <c r="I18" i="12"/>
  <c r="E18" i="12"/>
  <c r="I17" i="12"/>
  <c r="E17" i="12"/>
  <c r="I16" i="12"/>
  <c r="E16" i="12"/>
  <c r="I15" i="12"/>
  <c r="E15" i="12"/>
  <c r="I14" i="12"/>
  <c r="E14" i="12"/>
  <c r="I13" i="12"/>
  <c r="E13" i="12"/>
  <c r="I12" i="12"/>
  <c r="E12" i="12"/>
  <c r="I11" i="12"/>
  <c r="E11" i="12"/>
  <c r="I10" i="12"/>
  <c r="E10" i="12"/>
  <c r="H9" i="12"/>
  <c r="I92" i="12"/>
  <c r="I93" i="12"/>
  <c r="D110" i="12"/>
  <c r="C95" i="12"/>
  <c r="I62" i="11"/>
  <c r="I61" i="11"/>
  <c r="G73" i="11"/>
  <c r="I72" i="11"/>
  <c r="E72" i="11"/>
  <c r="I71" i="11"/>
  <c r="E71" i="11"/>
  <c r="E95" i="12"/>
  <c r="E96" i="12"/>
  <c r="I51" i="11"/>
  <c r="E51" i="11"/>
  <c r="I67" i="11"/>
  <c r="I66" i="11"/>
  <c r="E66" i="11"/>
  <c r="I65" i="11"/>
  <c r="H40" i="11"/>
  <c r="I40" i="11"/>
  <c r="E30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31" i="11"/>
  <c r="E32" i="11"/>
  <c r="E33" i="11"/>
  <c r="E34" i="11"/>
  <c r="E35" i="11"/>
  <c r="E38" i="11"/>
  <c r="E39" i="11"/>
  <c r="E40" i="11"/>
  <c r="E41" i="11"/>
  <c r="E44" i="11"/>
  <c r="E45" i="11"/>
  <c r="E47" i="11"/>
  <c r="E48" i="11"/>
  <c r="E49" i="11"/>
  <c r="E50" i="11"/>
  <c r="E53" i="11"/>
  <c r="E54" i="11"/>
  <c r="E56" i="11"/>
  <c r="E58" i="11"/>
  <c r="E59" i="11"/>
  <c r="E60" i="11"/>
  <c r="E63" i="11"/>
  <c r="E68" i="11"/>
  <c r="E69" i="11"/>
  <c r="E70" i="11"/>
  <c r="E10" i="11"/>
  <c r="D93" i="11"/>
  <c r="D92" i="11"/>
  <c r="D91" i="11"/>
  <c r="D90" i="11"/>
  <c r="D89" i="11"/>
  <c r="D88" i="11"/>
  <c r="D87" i="11"/>
  <c r="D86" i="11"/>
  <c r="D85" i="11"/>
  <c r="D84" i="11"/>
  <c r="C81" i="11"/>
  <c r="I70" i="11"/>
  <c r="I69" i="11"/>
  <c r="I68" i="11"/>
  <c r="I64" i="11"/>
  <c r="I63" i="11"/>
  <c r="I60" i="11"/>
  <c r="I59" i="11"/>
  <c r="I58" i="11"/>
  <c r="I57" i="11"/>
  <c r="I56" i="11"/>
  <c r="I55" i="11"/>
  <c r="I54" i="11"/>
  <c r="I53" i="11"/>
  <c r="I52" i="11"/>
  <c r="I50" i="11"/>
  <c r="I49" i="11"/>
  <c r="I48" i="11"/>
  <c r="I47" i="11"/>
  <c r="I46" i="11"/>
  <c r="I45" i="11"/>
  <c r="I44" i="11"/>
  <c r="I43" i="11"/>
  <c r="I42" i="11"/>
  <c r="I41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E14" i="11"/>
  <c r="I13" i="11"/>
  <c r="E13" i="11"/>
  <c r="I12" i="11"/>
  <c r="E12" i="11"/>
  <c r="I11" i="11"/>
  <c r="E11" i="11"/>
  <c r="I10" i="11"/>
  <c r="H9" i="11"/>
  <c r="I73" i="11"/>
  <c r="D94" i="11"/>
  <c r="C78" i="11"/>
  <c r="I75" i="11"/>
  <c r="I76" i="11"/>
  <c r="I16" i="10"/>
  <c r="D37" i="10"/>
  <c r="D36" i="10"/>
  <c r="D35" i="10"/>
  <c r="D34" i="10"/>
  <c r="D33" i="10"/>
  <c r="D32" i="10"/>
  <c r="D31" i="10"/>
  <c r="D30" i="10"/>
  <c r="D29" i="10"/>
  <c r="D28" i="10"/>
  <c r="C25" i="10"/>
  <c r="G16" i="10"/>
  <c r="I15" i="10"/>
  <c r="E15" i="10"/>
  <c r="I14" i="10"/>
  <c r="E14" i="10"/>
  <c r="I13" i="10"/>
  <c r="E13" i="10"/>
  <c r="I12" i="10"/>
  <c r="E12" i="10"/>
  <c r="I11" i="10"/>
  <c r="E11" i="10"/>
  <c r="I10" i="10"/>
  <c r="E10" i="10"/>
  <c r="H9" i="10"/>
  <c r="E78" i="11"/>
  <c r="E80" i="11"/>
  <c r="D38" i="10"/>
  <c r="C21" i="10"/>
  <c r="I18" i="10"/>
  <c r="I19" i="10"/>
  <c r="I83" i="9"/>
  <c r="I82" i="9"/>
  <c r="E82" i="9"/>
  <c r="C95" i="9"/>
  <c r="I56" i="9"/>
  <c r="I49" i="9"/>
  <c r="I48" i="9"/>
  <c r="E49" i="9"/>
  <c r="E48" i="9"/>
  <c r="I47" i="9"/>
  <c r="I46" i="9"/>
  <c r="I45" i="9"/>
  <c r="E45" i="9"/>
  <c r="I28" i="9"/>
  <c r="G88" i="9"/>
  <c r="C94" i="9"/>
  <c r="C96" i="9"/>
  <c r="H80" i="9"/>
  <c r="H79" i="9"/>
  <c r="H77" i="9"/>
  <c r="H75" i="9"/>
  <c r="H74" i="9"/>
  <c r="E65" i="9"/>
  <c r="H71" i="9"/>
  <c r="E61" i="9"/>
  <c r="H59" i="9"/>
  <c r="H44" i="9"/>
  <c r="H32" i="9"/>
  <c r="E21" i="10"/>
  <c r="E23" i="10"/>
  <c r="H18" i="9"/>
  <c r="H16" i="9"/>
  <c r="I15" i="9"/>
  <c r="H14" i="9"/>
  <c r="I14" i="9"/>
  <c r="H13" i="9"/>
  <c r="I13" i="9"/>
  <c r="H12" i="9"/>
  <c r="I12" i="9"/>
  <c r="H11" i="9"/>
  <c r="I11" i="9"/>
  <c r="H10" i="9"/>
  <c r="I10" i="9"/>
  <c r="E68" i="9"/>
  <c r="E69" i="9"/>
  <c r="E70" i="9"/>
  <c r="E71" i="9"/>
  <c r="E72" i="9"/>
  <c r="E73" i="9"/>
  <c r="E74" i="9"/>
  <c r="E75" i="9"/>
  <c r="E76" i="9"/>
  <c r="E79" i="9"/>
  <c r="E86" i="9"/>
  <c r="E26" i="9"/>
  <c r="D108" i="9"/>
  <c r="D107" i="9"/>
  <c r="D106" i="9"/>
  <c r="D105" i="9"/>
  <c r="D104" i="9"/>
  <c r="D103" i="9"/>
  <c r="D102" i="9"/>
  <c r="D101" i="9"/>
  <c r="D100" i="9"/>
  <c r="D99" i="9"/>
  <c r="I87" i="9"/>
  <c r="I86" i="9"/>
  <c r="I85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E66" i="9"/>
  <c r="I65" i="9"/>
  <c r="I64" i="9"/>
  <c r="E64" i="9"/>
  <c r="I63" i="9"/>
  <c r="E63" i="9"/>
  <c r="I62" i="9"/>
  <c r="E62" i="9"/>
  <c r="I61" i="9"/>
  <c r="I60" i="9"/>
  <c r="E60" i="9"/>
  <c r="I59" i="9"/>
  <c r="I58" i="9"/>
  <c r="I57" i="9"/>
  <c r="E57" i="9"/>
  <c r="E56" i="9"/>
  <c r="I55" i="9"/>
  <c r="E55" i="9"/>
  <c r="I54" i="9"/>
  <c r="E54" i="9"/>
  <c r="I53" i="9"/>
  <c r="E53" i="9"/>
  <c r="I52" i="9"/>
  <c r="E52" i="9"/>
  <c r="I51" i="9"/>
  <c r="E51" i="9"/>
  <c r="I50" i="9"/>
  <c r="E50" i="9"/>
  <c r="I44" i="9"/>
  <c r="E44" i="9"/>
  <c r="I43" i="9"/>
  <c r="E43" i="9"/>
  <c r="I42" i="9"/>
  <c r="E42" i="9"/>
  <c r="I41" i="9"/>
  <c r="I40" i="9"/>
  <c r="E40" i="9"/>
  <c r="I39" i="9"/>
  <c r="E39" i="9"/>
  <c r="I38" i="9"/>
  <c r="E38" i="9"/>
  <c r="I37" i="9"/>
  <c r="E37" i="9"/>
  <c r="I36" i="9"/>
  <c r="E36" i="9"/>
  <c r="I35" i="9"/>
  <c r="E35" i="9"/>
  <c r="I34" i="9"/>
  <c r="E34" i="9"/>
  <c r="I33" i="9"/>
  <c r="E33" i="9"/>
  <c r="I32" i="9"/>
  <c r="E32" i="9"/>
  <c r="I31" i="9"/>
  <c r="I30" i="9"/>
  <c r="I29" i="9"/>
  <c r="I27" i="9"/>
  <c r="I26" i="9"/>
  <c r="I25" i="9"/>
  <c r="I24" i="9"/>
  <c r="I23" i="9"/>
  <c r="E23" i="9"/>
  <c r="I22" i="9"/>
  <c r="I21" i="9"/>
  <c r="E21" i="9"/>
  <c r="I20" i="9"/>
  <c r="E20" i="9"/>
  <c r="I19" i="9"/>
  <c r="E19" i="9"/>
  <c r="I18" i="9"/>
  <c r="E18" i="9"/>
  <c r="I17" i="9"/>
  <c r="I16" i="9"/>
  <c r="E14" i="9"/>
  <c r="E13" i="9"/>
  <c r="E12" i="9"/>
  <c r="E11" i="9"/>
  <c r="H9" i="9"/>
  <c r="I88" i="9"/>
  <c r="D109" i="9"/>
  <c r="C93" i="9"/>
  <c r="G25" i="8"/>
  <c r="I22" i="8"/>
  <c r="I20" i="8"/>
  <c r="E20" i="8"/>
  <c r="I16" i="8"/>
  <c r="I17" i="8"/>
  <c r="I18" i="8"/>
  <c r="E16" i="8"/>
  <c r="E17" i="8"/>
  <c r="E18" i="8"/>
  <c r="D46" i="8"/>
  <c r="D45" i="8"/>
  <c r="D44" i="8"/>
  <c r="D43" i="8"/>
  <c r="D42" i="8"/>
  <c r="D41" i="8"/>
  <c r="D40" i="8"/>
  <c r="D39" i="8"/>
  <c r="D38" i="8"/>
  <c r="D37" i="8"/>
  <c r="C34" i="8"/>
  <c r="I19" i="8"/>
  <c r="I15" i="8"/>
  <c r="E15" i="8"/>
  <c r="I14" i="8"/>
  <c r="E14" i="8"/>
  <c r="I13" i="8"/>
  <c r="E13" i="8"/>
  <c r="I12" i="8"/>
  <c r="E12" i="8"/>
  <c r="I11" i="8"/>
  <c r="E11" i="8"/>
  <c r="I10" i="8"/>
  <c r="E10" i="8"/>
  <c r="H9" i="8"/>
  <c r="I90" i="9"/>
  <c r="I91" i="9"/>
  <c r="E93" i="9"/>
  <c r="E95" i="9"/>
  <c r="I96" i="7"/>
  <c r="G96" i="7"/>
  <c r="C105" i="7"/>
  <c r="I95" i="7"/>
  <c r="E95" i="7"/>
  <c r="I94" i="7"/>
  <c r="E93" i="7"/>
  <c r="I92" i="7"/>
  <c r="I91" i="7"/>
  <c r="I90" i="7"/>
  <c r="I89" i="7"/>
  <c r="I88" i="7"/>
  <c r="I82" i="7"/>
  <c r="I83" i="7"/>
  <c r="I84" i="7"/>
  <c r="I85" i="7"/>
  <c r="I86" i="7"/>
  <c r="I87" i="7"/>
  <c r="I81" i="7"/>
  <c r="E82" i="7"/>
  <c r="E83" i="7"/>
  <c r="E84" i="7"/>
  <c r="E85" i="7"/>
  <c r="E86" i="7"/>
  <c r="E87" i="7"/>
  <c r="E81" i="7"/>
  <c r="H79" i="7"/>
  <c r="I79" i="7"/>
  <c r="H78" i="7"/>
  <c r="I78" i="7"/>
  <c r="H77" i="7"/>
  <c r="I77" i="7"/>
  <c r="E77" i="7"/>
  <c r="H76" i="7"/>
  <c r="I76" i="7"/>
  <c r="E76" i="7"/>
  <c r="H74" i="7"/>
  <c r="I74" i="7"/>
  <c r="H75" i="7"/>
  <c r="I75" i="7"/>
  <c r="E67" i="7"/>
  <c r="E70" i="7"/>
  <c r="E71" i="7"/>
  <c r="E72" i="7"/>
  <c r="E74" i="7"/>
  <c r="E75" i="7"/>
  <c r="E50" i="7"/>
  <c r="E27" i="7"/>
  <c r="D117" i="7"/>
  <c r="D116" i="7"/>
  <c r="D115" i="7"/>
  <c r="D114" i="7"/>
  <c r="D113" i="7"/>
  <c r="D112" i="7"/>
  <c r="D111" i="7"/>
  <c r="D110" i="7"/>
  <c r="D109" i="7"/>
  <c r="D108" i="7"/>
  <c r="I93" i="7"/>
  <c r="I80" i="7"/>
  <c r="E78" i="7"/>
  <c r="I73" i="7"/>
  <c r="I72" i="7"/>
  <c r="I71" i="7"/>
  <c r="I70" i="7"/>
  <c r="I69" i="7"/>
  <c r="I68" i="7"/>
  <c r="I67" i="7"/>
  <c r="I66" i="7"/>
  <c r="E66" i="7"/>
  <c r="I65" i="7"/>
  <c r="E65" i="7"/>
  <c r="I64" i="7"/>
  <c r="E64" i="7"/>
  <c r="I63" i="7"/>
  <c r="I62" i="7"/>
  <c r="I61" i="7"/>
  <c r="I60" i="7"/>
  <c r="E60" i="7"/>
  <c r="I59" i="7"/>
  <c r="E59" i="7"/>
  <c r="I58" i="7"/>
  <c r="E58" i="7"/>
  <c r="I57" i="7"/>
  <c r="E57" i="7"/>
  <c r="I56" i="7"/>
  <c r="I55" i="7"/>
  <c r="E55" i="7"/>
  <c r="I54" i="7"/>
  <c r="I53" i="7"/>
  <c r="I52" i="7"/>
  <c r="I51" i="7"/>
  <c r="I50" i="7"/>
  <c r="I49" i="7"/>
  <c r="E49" i="7"/>
  <c r="I48" i="7"/>
  <c r="E48" i="7"/>
  <c r="I47" i="7"/>
  <c r="E47" i="7"/>
  <c r="I46" i="7"/>
  <c r="I45" i="7"/>
  <c r="E45" i="7"/>
  <c r="I44" i="7"/>
  <c r="E44" i="7"/>
  <c r="I43" i="7"/>
  <c r="E43" i="7"/>
  <c r="I42" i="7"/>
  <c r="E42" i="7"/>
  <c r="I41" i="7"/>
  <c r="E41" i="7"/>
  <c r="I40" i="7"/>
  <c r="E40" i="7"/>
  <c r="I39" i="7"/>
  <c r="E39" i="7"/>
  <c r="I38" i="7"/>
  <c r="E38" i="7"/>
  <c r="I37" i="7"/>
  <c r="E37" i="7"/>
  <c r="I36" i="7"/>
  <c r="E36" i="7"/>
  <c r="I35" i="7"/>
  <c r="E35" i="7"/>
  <c r="I34" i="7"/>
  <c r="E34" i="7"/>
  <c r="I33" i="7"/>
  <c r="E33" i="7"/>
  <c r="I32" i="7"/>
  <c r="E32" i="7"/>
  <c r="I31" i="7"/>
  <c r="E31" i="7"/>
  <c r="I30" i="7"/>
  <c r="E30" i="7"/>
  <c r="I29" i="7"/>
  <c r="E29" i="7"/>
  <c r="I28" i="7"/>
  <c r="E28" i="7"/>
  <c r="I27" i="7"/>
  <c r="I26" i="7"/>
  <c r="E26" i="7"/>
  <c r="I25" i="7"/>
  <c r="E25" i="7"/>
  <c r="I24" i="7"/>
  <c r="E24" i="7"/>
  <c r="I23" i="7"/>
  <c r="E23" i="7"/>
  <c r="I22" i="7"/>
  <c r="E22" i="7"/>
  <c r="I21" i="7"/>
  <c r="E21" i="7"/>
  <c r="I20" i="7"/>
  <c r="E20" i="7"/>
  <c r="I19" i="7"/>
  <c r="E19" i="7"/>
  <c r="I18" i="7"/>
  <c r="E18" i="7"/>
  <c r="I17" i="7"/>
  <c r="E17" i="7"/>
  <c r="I16" i="7"/>
  <c r="E16" i="7"/>
  <c r="I15" i="7"/>
  <c r="E15" i="7"/>
  <c r="I14" i="7"/>
  <c r="E14" i="7"/>
  <c r="I13" i="7"/>
  <c r="E13" i="7"/>
  <c r="I12" i="7"/>
  <c r="E12" i="7"/>
  <c r="I11" i="7"/>
  <c r="E11" i="7"/>
  <c r="I10" i="7"/>
  <c r="E10" i="7"/>
  <c r="H9" i="7"/>
  <c r="I98" i="7"/>
  <c r="I99" i="7"/>
  <c r="D118" i="7"/>
  <c r="C101" i="7"/>
  <c r="I11" i="6"/>
  <c r="I12" i="6"/>
  <c r="I13" i="6"/>
  <c r="I14" i="6"/>
  <c r="I10" i="6"/>
  <c r="D35" i="6"/>
  <c r="D34" i="6"/>
  <c r="D33" i="6"/>
  <c r="D32" i="6"/>
  <c r="D31" i="6"/>
  <c r="D30" i="6"/>
  <c r="D29" i="6"/>
  <c r="D28" i="6"/>
  <c r="D27" i="6"/>
  <c r="D26" i="6"/>
  <c r="C23" i="6"/>
  <c r="G14" i="6"/>
  <c r="E10" i="6"/>
  <c r="H9" i="6"/>
  <c r="E101" i="7"/>
  <c r="E102" i="7"/>
  <c r="D36" i="6"/>
  <c r="C19" i="6"/>
  <c r="I16" i="6"/>
  <c r="I17" i="6"/>
  <c r="I96" i="5"/>
  <c r="C111" i="5"/>
  <c r="G102" i="5"/>
  <c r="G72" i="1"/>
  <c r="I101" i="5"/>
  <c r="I100" i="5"/>
  <c r="E100" i="5"/>
  <c r="I99" i="5"/>
  <c r="E99" i="5"/>
  <c r="I98" i="5"/>
  <c r="E98" i="5"/>
  <c r="I97" i="5"/>
  <c r="E97" i="5"/>
  <c r="E19" i="6"/>
  <c r="E21" i="6"/>
  <c r="I95" i="5"/>
  <c r="E95" i="5"/>
  <c r="I94" i="5"/>
  <c r="I93" i="5"/>
  <c r="I92" i="5"/>
  <c r="E92" i="5"/>
  <c r="I91" i="5"/>
  <c r="I90" i="5"/>
  <c r="I89" i="5"/>
  <c r="E89" i="5"/>
  <c r="E91" i="5"/>
  <c r="I88" i="5"/>
  <c r="E88" i="5"/>
  <c r="E86" i="5"/>
  <c r="I87" i="5"/>
  <c r="I86" i="5"/>
  <c r="I85" i="5"/>
  <c r="E85" i="5"/>
  <c r="I83" i="5"/>
  <c r="I82" i="5"/>
  <c r="I81" i="5"/>
  <c r="I80" i="5"/>
  <c r="E82" i="5"/>
  <c r="I72" i="5"/>
  <c r="I71" i="5"/>
  <c r="I70" i="5"/>
  <c r="I69" i="5"/>
  <c r="I68" i="5"/>
  <c r="I67" i="5"/>
  <c r="I66" i="5"/>
  <c r="I65" i="5"/>
  <c r="I64" i="5"/>
  <c r="I63" i="5"/>
  <c r="I62" i="5"/>
  <c r="E63" i="5"/>
  <c r="E64" i="5"/>
  <c r="E65" i="5"/>
  <c r="E66" i="5"/>
  <c r="E71" i="5"/>
  <c r="I27" i="5"/>
  <c r="E22" i="5"/>
  <c r="E23" i="5"/>
  <c r="E24" i="5"/>
  <c r="E25" i="5"/>
  <c r="E26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73" i="5"/>
  <c r="E74" i="5"/>
  <c r="E76" i="5"/>
  <c r="E79" i="5"/>
  <c r="E84" i="5"/>
  <c r="D123" i="5"/>
  <c r="D122" i="5"/>
  <c r="D121" i="5"/>
  <c r="D120" i="5"/>
  <c r="D119" i="5"/>
  <c r="D118" i="5"/>
  <c r="D117" i="5"/>
  <c r="D116" i="5"/>
  <c r="D115" i="5"/>
  <c r="D114" i="5"/>
  <c r="I84" i="5"/>
  <c r="I79" i="5"/>
  <c r="I78" i="5"/>
  <c r="I77" i="5"/>
  <c r="I76" i="5"/>
  <c r="I75" i="5"/>
  <c r="I74" i="5"/>
  <c r="I73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6" i="5"/>
  <c r="I25" i="5"/>
  <c r="I24" i="5"/>
  <c r="I23" i="5"/>
  <c r="I22" i="5"/>
  <c r="I21" i="5"/>
  <c r="E21" i="5"/>
  <c r="I20" i="5"/>
  <c r="E20" i="5"/>
  <c r="I19" i="5"/>
  <c r="E19" i="5"/>
  <c r="I18" i="5"/>
  <c r="E18" i="5"/>
  <c r="I17" i="5"/>
  <c r="E17" i="5"/>
  <c r="I16" i="5"/>
  <c r="E16" i="5"/>
  <c r="I15" i="5"/>
  <c r="E15" i="5"/>
  <c r="I14" i="5"/>
  <c r="E14" i="5"/>
  <c r="I13" i="5"/>
  <c r="E13" i="5"/>
  <c r="I12" i="5"/>
  <c r="E12" i="5"/>
  <c r="I11" i="5"/>
  <c r="E11" i="5"/>
  <c r="I10" i="5"/>
  <c r="E10" i="5"/>
  <c r="H9" i="5"/>
  <c r="D124" i="5"/>
  <c r="C107" i="5"/>
  <c r="I102" i="5"/>
  <c r="I104" i="5"/>
  <c r="I105" i="5"/>
  <c r="D36" i="4"/>
  <c r="D35" i="4"/>
  <c r="D34" i="4"/>
  <c r="D33" i="4"/>
  <c r="D32" i="4"/>
  <c r="D31" i="4"/>
  <c r="D30" i="4"/>
  <c r="D29" i="4"/>
  <c r="D28" i="4"/>
  <c r="D27" i="4"/>
  <c r="C24" i="4"/>
  <c r="E11" i="4"/>
  <c r="E10" i="4"/>
  <c r="H9" i="4"/>
  <c r="E107" i="5"/>
  <c r="E109" i="5"/>
  <c r="D37" i="4"/>
  <c r="C20" i="4"/>
  <c r="I17" i="4"/>
  <c r="I18" i="4"/>
  <c r="G22" i="2"/>
  <c r="I19" i="2"/>
  <c r="E19" i="2"/>
  <c r="E20" i="4"/>
  <c r="E22" i="4"/>
  <c r="I71" i="1"/>
  <c r="I66" i="1"/>
  <c r="I67" i="1"/>
  <c r="I68" i="1"/>
  <c r="I69" i="1"/>
  <c r="I70" i="1"/>
  <c r="I65" i="1"/>
  <c r="E70" i="1"/>
  <c r="E69" i="1"/>
  <c r="E66" i="1"/>
  <c r="E65" i="1"/>
  <c r="I64" i="1"/>
  <c r="E64" i="1"/>
  <c r="I52" i="1"/>
  <c r="I51" i="1"/>
  <c r="I50" i="1"/>
  <c r="I21" i="2"/>
  <c r="E21" i="2"/>
  <c r="I16" i="2"/>
  <c r="I15" i="2"/>
  <c r="E16" i="2"/>
  <c r="D43" i="2"/>
  <c r="D42" i="2"/>
  <c r="D41" i="2"/>
  <c r="D40" i="2"/>
  <c r="D39" i="2"/>
  <c r="D38" i="2"/>
  <c r="D37" i="2"/>
  <c r="D36" i="2"/>
  <c r="D35" i="2"/>
  <c r="D34" i="2"/>
  <c r="C31" i="2"/>
  <c r="I20" i="2"/>
  <c r="E20" i="2"/>
  <c r="I18" i="2"/>
  <c r="E18" i="2"/>
  <c r="I17" i="2"/>
  <c r="E17" i="2"/>
  <c r="I14" i="2"/>
  <c r="E14" i="2"/>
  <c r="I13" i="2"/>
  <c r="I12" i="2"/>
  <c r="E12" i="2"/>
  <c r="I11" i="2"/>
  <c r="E11" i="2"/>
  <c r="I10" i="2"/>
  <c r="E10" i="2"/>
  <c r="H9" i="2"/>
  <c r="D44" i="2"/>
  <c r="C27" i="2"/>
  <c r="I22" i="2"/>
  <c r="I24" i="2"/>
  <c r="I25" i="2"/>
  <c r="I10" i="1"/>
  <c r="E27" i="2"/>
  <c r="E29" i="2"/>
  <c r="I11" i="1"/>
  <c r="I63" i="1"/>
  <c r="I62" i="1"/>
  <c r="I61" i="1"/>
  <c r="I60" i="1"/>
  <c r="I59" i="1"/>
  <c r="I58" i="1"/>
  <c r="I57" i="1"/>
  <c r="I56" i="1"/>
  <c r="I55" i="1"/>
  <c r="I54" i="1"/>
  <c r="I53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H9" i="1"/>
  <c r="I72" i="1"/>
  <c r="I74" i="1"/>
  <c r="I75" i="1"/>
  <c r="D93" i="1"/>
  <c r="D92" i="1"/>
  <c r="D91" i="1"/>
  <c r="D90" i="1"/>
  <c r="D89" i="1"/>
  <c r="D88" i="1"/>
  <c r="D87" i="1"/>
  <c r="D86" i="1"/>
  <c r="D85" i="1"/>
  <c r="D84" i="1"/>
  <c r="C81" i="1"/>
  <c r="E68" i="1"/>
  <c r="E63" i="1"/>
  <c r="E60" i="1"/>
  <c r="E59" i="1"/>
  <c r="E58" i="1"/>
  <c r="E51" i="1"/>
  <c r="E48" i="1"/>
  <c r="E47" i="1"/>
  <c r="E43" i="1"/>
  <c r="E42" i="1"/>
  <c r="E41" i="1"/>
  <c r="E40" i="1"/>
  <c r="E39" i="1"/>
  <c r="E38" i="1"/>
  <c r="E37" i="1"/>
  <c r="E36" i="1"/>
  <c r="E35" i="1"/>
  <c r="E33" i="1"/>
  <c r="E32" i="1"/>
  <c r="E31" i="1"/>
  <c r="E29" i="1"/>
  <c r="E28" i="1"/>
  <c r="E27" i="1"/>
  <c r="E25" i="1"/>
  <c r="E24" i="1"/>
  <c r="E21" i="1"/>
  <c r="E20" i="1"/>
  <c r="E19" i="1"/>
  <c r="E18" i="1"/>
  <c r="E17" i="1"/>
  <c r="E16" i="1"/>
  <c r="E15" i="1"/>
  <c r="E14" i="1"/>
  <c r="E13" i="1"/>
  <c r="E12" i="1"/>
  <c r="E11" i="1"/>
  <c r="E10" i="1"/>
  <c r="D94" i="1"/>
  <c r="C77" i="1"/>
  <c r="E77" i="1"/>
  <c r="E79" i="1"/>
  <c r="I85" i="15"/>
  <c r="I86" i="15"/>
  <c r="G23" i="15"/>
  <c r="H23" i="15"/>
  <c r="H83" i="15"/>
  <c r="G83" i="15"/>
  <c r="E88" i="15"/>
  <c r="E89" i="15"/>
  <c r="D47" i="8" l="1"/>
  <c r="C30" i="8" s="1"/>
  <c r="I28" i="8"/>
  <c r="E30" i="8" l="1"/>
  <c r="E32" i="8" s="1"/>
</calcChain>
</file>

<file path=xl/sharedStrings.xml><?xml version="1.0" encoding="utf-8"?>
<sst xmlns="http://schemas.openxmlformats.org/spreadsheetml/2006/main" count="2740" uniqueCount="619">
  <si>
    <t xml:space="preserve"> </t>
  </si>
  <si>
    <t>No</t>
  </si>
  <si>
    <t>FECHA</t>
  </si>
  <si>
    <t>BENEFICIARIO</t>
  </si>
  <si>
    <t>TOTAL</t>
  </si>
  <si>
    <t>Valor de reembolso</t>
  </si>
  <si>
    <t>EFECTIVO</t>
  </si>
  <si>
    <t>TOTAL PROVISIONALES</t>
  </si>
  <si>
    <t xml:space="preserve">  </t>
  </si>
  <si>
    <t>FECHA: 15-08-2018</t>
  </si>
  <si>
    <t>DESCRIPCIÓN</t>
  </si>
  <si>
    <t>DENOMINACIÓN</t>
  </si>
  <si>
    <t>SISTEMA INTEGRADO DE GESTIÓN</t>
  </si>
  <si>
    <t>CÓDIGO: GAF-FT-009</t>
  </si>
  <si>
    <t>VERSIÓN: 000</t>
  </si>
  <si>
    <t>HOJA DE LEGALIZACIÓN DE CAJA MENOR Y GASTOS</t>
  </si>
  <si>
    <t>Valor de Caja Menor/anticipo</t>
  </si>
  <si>
    <t>Disponible caja menor/valor a reintegrar</t>
  </si>
  <si>
    <t>CENTRO DE COSTO O PROYECTO</t>
  </si>
  <si>
    <t xml:space="preserve">FIRMA RESPONSABLE: </t>
  </si>
  <si>
    <t>FIRMA REVISO:</t>
  </si>
  <si>
    <t>FIRMA AUTORIZADO:</t>
  </si>
  <si>
    <t xml:space="preserve">                                                                                 CAJA MENOR                                                                                        GASTOS</t>
  </si>
  <si>
    <t>FECHA DE LEGALIZACIÓN:</t>
  </si>
  <si>
    <t>Total legalización o caja menor</t>
  </si>
  <si>
    <t>SOLO DILIGENCIAR PARA CAJA MENOR</t>
  </si>
  <si>
    <t>NOMBRE DE RESPONSABLE:
CEDULA</t>
  </si>
  <si>
    <t>____________________________________</t>
  </si>
  <si>
    <t>___________________________________</t>
  </si>
  <si>
    <t>_________________________________________</t>
  </si>
  <si>
    <t>NIT O CC</t>
  </si>
  <si>
    <t>COP
MONEDA EXTR.</t>
  </si>
  <si>
    <t>ADMINISTRACION</t>
  </si>
  <si>
    <t xml:space="preserve">PEAJE </t>
  </si>
  <si>
    <t xml:space="preserve">COMBUSTIBLE </t>
  </si>
  <si>
    <t>PARQUEADERO</t>
  </si>
  <si>
    <t>LUMARA PARKIN</t>
  </si>
  <si>
    <t>PARQUEADERO SOLO MOTOS</t>
  </si>
  <si>
    <t xml:space="preserve">JEFFERSON DUARTE </t>
  </si>
  <si>
    <t>TRANSPORTES</t>
  </si>
  <si>
    <t>SAN REMO FACTORY</t>
  </si>
  <si>
    <t xml:space="preserve">COMPRA AGUA </t>
  </si>
  <si>
    <t>TRANSPORTE PERSONAL</t>
  </si>
  <si>
    <t>ALMUERZO TRABAJO SABADO</t>
  </si>
  <si>
    <t>PRODUCCION</t>
  </si>
  <si>
    <t>COMPRA DE ACETILENO Y OXIGENO</t>
  </si>
  <si>
    <t xml:space="preserve">LAVADA CAMIONETA </t>
  </si>
  <si>
    <t xml:space="preserve">COMPRA MANTELES </t>
  </si>
  <si>
    <t xml:space="preserve">TRANSPORTES </t>
  </si>
  <si>
    <t>CITEC</t>
  </si>
  <si>
    <t>JOSE GUTIERREZ</t>
  </si>
  <si>
    <t xml:space="preserve">COMPRA MATERIALES </t>
  </si>
  <si>
    <t xml:space="preserve">RESTAURANTE FREDY PARRILLA </t>
  </si>
  <si>
    <t xml:space="preserve">VENTAS </t>
  </si>
  <si>
    <t xml:space="preserve">IMPRESIONES A COLOR </t>
  </si>
  <si>
    <t>ANTICIPOS</t>
  </si>
  <si>
    <t>JOSE GUILLERMO LUGO</t>
  </si>
  <si>
    <t xml:space="preserve">ANT GASTOS BOGOTA VISITA </t>
  </si>
  <si>
    <t>YAISLLETH NISPERUZA   -CC: 1039090799</t>
  </si>
  <si>
    <t>PEAJE</t>
  </si>
  <si>
    <t xml:space="preserve">LAVADA NAVARA </t>
  </si>
  <si>
    <t>HENRY CADENA FRANCO</t>
  </si>
  <si>
    <t>COMBUSTIBLE</t>
  </si>
  <si>
    <t>COMPRA REFRIGERIOS</t>
  </si>
  <si>
    <t>BATERCOL BOGOTA</t>
  </si>
  <si>
    <t>COMPRA BATERIA TIIDA</t>
  </si>
  <si>
    <t>ANT GASTOS LEONEL VISITA</t>
  </si>
  <si>
    <t xml:space="preserve">RESTAURANTE TIZON Y ZAFON </t>
  </si>
  <si>
    <t xml:space="preserve">ALMUERZO </t>
  </si>
  <si>
    <t xml:space="preserve">SUPERMANZANA </t>
  </si>
  <si>
    <t>ALMUERZO</t>
  </si>
  <si>
    <t>ASADERO EL CAPORRAL</t>
  </si>
  <si>
    <t xml:space="preserve">ALMUERZOS </t>
  </si>
  <si>
    <t xml:space="preserve">RECARGA CELULAR EDINSON </t>
  </si>
  <si>
    <t>PAGO SANCION TIIDA</t>
  </si>
  <si>
    <t>FIDEICOMISOS SOCIEDAD FIDUCIARIA</t>
  </si>
  <si>
    <t xml:space="preserve">LEONEL MENDOZA </t>
  </si>
  <si>
    <t xml:space="preserve">ANT GASTOS </t>
  </si>
  <si>
    <t>Carlos Martinez</t>
  </si>
  <si>
    <t xml:space="preserve">        NOMBRE: YAISLLETH NISPERUZA</t>
  </si>
  <si>
    <t xml:space="preserve">NOMBRE: JAIME BELTRAN </t>
  </si>
  <si>
    <t xml:space="preserve">           NOMBRE: JAIME BELTRAN</t>
  </si>
  <si>
    <t xml:space="preserve">ALI LASTRA </t>
  </si>
  <si>
    <t xml:space="preserve">INVERSIONES ESCOBAR MARIN </t>
  </si>
  <si>
    <t xml:space="preserve">COMERCIAL </t>
  </si>
  <si>
    <t>ALMUERZO  PERSONAL VENEZUELA</t>
  </si>
  <si>
    <t xml:space="preserve">        NOMBRE: ALI LASTRA </t>
  </si>
  <si>
    <t>NOMBRE: YAISLLETH NISPERUZA</t>
  </si>
  <si>
    <t xml:space="preserve">           NOMBRE: JAIME BELTRAN </t>
  </si>
  <si>
    <t>INVERSIONES BLACK</t>
  </si>
  <si>
    <t>COMPRAS DESAYUNO</t>
  </si>
  <si>
    <t>JUNTA DE ACCION COMUNAL</t>
  </si>
  <si>
    <t>DROGUEIA FARMAGRAN</t>
  </si>
  <si>
    <t>COMPRA CHAPSTICK</t>
  </si>
  <si>
    <t xml:space="preserve">SUPERMERCADO SANTILLANA </t>
  </si>
  <si>
    <t xml:space="preserve">COMPRA AZUCAR </t>
  </si>
  <si>
    <t xml:space="preserve">DIEGO RIVAS </t>
  </si>
  <si>
    <t xml:space="preserve">TRANSPORTE </t>
  </si>
  <si>
    <t xml:space="preserve">PRODUCCION </t>
  </si>
  <si>
    <t xml:space="preserve">TRANSPORTE  LEONEL </t>
  </si>
  <si>
    <t>SURITMEGA</t>
  </si>
  <si>
    <t>COMPRA TOALLAS CAFETERIA</t>
  </si>
  <si>
    <t>SUPERMERCADO EL T</t>
  </si>
  <si>
    <t xml:space="preserve">COMPRA PAPEL </t>
  </si>
  <si>
    <t xml:space="preserve">COMPRA VASOS </t>
  </si>
  <si>
    <t xml:space="preserve">ALMUERZO TRABAJO </t>
  </si>
  <si>
    <t>JUDITH RAMIREZ MONTAÑO</t>
  </si>
  <si>
    <t>REVISION TIIDA</t>
  </si>
  <si>
    <t xml:space="preserve">SEBASTIAN CORTES </t>
  </si>
  <si>
    <t>TRANSPORTES NOCTURNO</t>
  </si>
  <si>
    <t>PROPINA</t>
  </si>
  <si>
    <t>AUTO LISTO</t>
  </si>
  <si>
    <t>LAVADA NAVARA</t>
  </si>
  <si>
    <t xml:space="preserve">RESTAURANTE TIZON Y SABOR </t>
  </si>
  <si>
    <t>COMERCIAL</t>
  </si>
  <si>
    <t>ANTICIPO Y REMBOLSO</t>
  </si>
  <si>
    <t xml:space="preserve">REMBOLSO SALOD LEGALIZACION </t>
  </si>
  <si>
    <t>EDINSON ROMERO</t>
  </si>
  <si>
    <t>RICARDO BUITRAGO</t>
  </si>
  <si>
    <t xml:space="preserve">ANDRES BAYONA </t>
  </si>
  <si>
    <t xml:space="preserve">COMPRA DE AGUA </t>
  </si>
  <si>
    <t>COMPRA DE REFRIGERIOS</t>
  </si>
  <si>
    <t>PROCALCOL SA</t>
  </si>
  <si>
    <t xml:space="preserve">COMPRA MEDICAMENTO </t>
  </si>
  <si>
    <t>AEROPUERTO DG SAS</t>
  </si>
  <si>
    <t xml:space="preserve">ADICION MALETA </t>
  </si>
  <si>
    <t xml:space="preserve">ALEJANDRO TORRES </t>
  </si>
  <si>
    <t xml:space="preserve">JAIRO GUANDUR </t>
  </si>
  <si>
    <t xml:space="preserve">SERV TRANSPORTE </t>
  </si>
  <si>
    <t xml:space="preserve">EL CHIRIZO MARAVILLA </t>
  </si>
  <si>
    <t xml:space="preserve">ALMUERZO REUNION ALI LASTRA </t>
  </si>
  <si>
    <t xml:space="preserve">VICTOR LOZANO </t>
  </si>
  <si>
    <t xml:space="preserve">COMPRA DE CAFFE </t>
  </si>
  <si>
    <t xml:space="preserve">ESCOBAR MARIN </t>
  </si>
  <si>
    <t xml:space="preserve">DIEGO VIVAS </t>
  </si>
  <si>
    <t>ALCANSA</t>
  </si>
  <si>
    <t>DIFERNCIA  COMPRA DOLARS</t>
  </si>
  <si>
    <t xml:space="preserve"> COMIDA   TRABAJO NOCHE </t>
  </si>
  <si>
    <t>LUSTRA MUEBLES</t>
  </si>
  <si>
    <t xml:space="preserve">TAXI  VILLAS A CASA </t>
  </si>
  <si>
    <t xml:space="preserve">PIZZERIA MIL DELICIAS </t>
  </si>
  <si>
    <t xml:space="preserve">COMIDA TRABAJO NOCHE </t>
  </si>
  <si>
    <t>AUTOLAVADO SANTA JIMENA</t>
  </si>
  <si>
    <t xml:space="preserve">PEDRAZA RODRIGUEZ JOSE </t>
  </si>
  <si>
    <t xml:space="preserve">COMPRA DE BUSCAPINA </t>
  </si>
  <si>
    <t>JAIRO ANDRES ESPITIA</t>
  </si>
  <si>
    <t>ALEXANDER MENDOZA MARQUEZ</t>
  </si>
  <si>
    <t>SEGURIDAD SOCIAL</t>
  </si>
  <si>
    <t>TAXI RECOGER LEONEL MENDOZA</t>
  </si>
  <si>
    <t>FERRETERIA LA UNIVERSAL</t>
  </si>
  <si>
    <t>COMPRA DE CHAZO</t>
  </si>
  <si>
    <t>COMPRA DE SIERRACOPA</t>
  </si>
  <si>
    <t>COMPRA DE NINI RLEVO</t>
  </si>
  <si>
    <t>COMPRA DE ADHESIVO</t>
  </si>
  <si>
    <t xml:space="preserve">COMPRA DE REGLETAS </t>
  </si>
  <si>
    <t xml:space="preserve">COMPRA DE PULSADORES </t>
  </si>
  <si>
    <t xml:space="preserve">COLOMBIANA DE BRONCS </t>
  </si>
  <si>
    <t xml:space="preserve">COMPRA DE PLATINAS  DE COBRE </t>
  </si>
  <si>
    <t xml:space="preserve">BCPBRA </t>
  </si>
  <si>
    <t xml:space="preserve">COLMEDICA </t>
  </si>
  <si>
    <t xml:space="preserve">VACUNAS JAIRO MOSQUERA </t>
  </si>
  <si>
    <t xml:space="preserve">LEONARDOMEDINA </t>
  </si>
  <si>
    <t xml:space="preserve">SUPERTIENDA LA PUNTA </t>
  </si>
  <si>
    <t>COMPRA ALMUERZO</t>
  </si>
  <si>
    <t>ASADERO EL JORDAM</t>
  </si>
  <si>
    <t xml:space="preserve">HAM PER </t>
  </si>
  <si>
    <t>ASARRELLAMA</t>
  </si>
  <si>
    <t>LAVDA TIIDA</t>
  </si>
  <si>
    <t>AUTOLISTO</t>
  </si>
  <si>
    <t xml:space="preserve">TAXIS </t>
  </si>
  <si>
    <t>FUNDACION CARDIOINFANTIL</t>
  </si>
  <si>
    <t>PARQEUADERO SOLO MOTOS</t>
  </si>
  <si>
    <t>FONDO EMPLEADOS SAN BUENAVENTURA</t>
  </si>
  <si>
    <t xml:space="preserve">PARKING ASTURIAS </t>
  </si>
  <si>
    <t xml:space="preserve">MARTHA ORTEGA </t>
  </si>
  <si>
    <t xml:space="preserve">PARQUEADERO JR </t>
  </si>
  <si>
    <t xml:space="preserve">PARQUEADERO SOLO MOTOS </t>
  </si>
  <si>
    <t xml:space="preserve">LUMARA PARKING </t>
  </si>
  <si>
    <t xml:space="preserve">SERVIENTREGA </t>
  </si>
  <si>
    <t xml:space="preserve">ENVIO SOBRE PTO GAITAN </t>
  </si>
  <si>
    <t xml:space="preserve">OFI SERVICIOS </t>
  </si>
  <si>
    <t xml:space="preserve">ESCANNER  Y SOBRES </t>
  </si>
  <si>
    <t>LAVADA TIDDA</t>
  </si>
  <si>
    <t>DESAYUNO ALI</t>
  </si>
  <si>
    <t xml:space="preserve">COMPRA DE BATERIAS </t>
  </si>
  <si>
    <t xml:space="preserve">COMPRA BATERIAS </t>
  </si>
  <si>
    <t xml:space="preserve">TRANSPORTE SABADO </t>
  </si>
  <si>
    <t>AUTOSERVICIO ARROYAVE  ESPRESS</t>
  </si>
  <si>
    <t xml:space="preserve">COMPRA DE AZUCAR </t>
  </si>
  <si>
    <t xml:space="preserve">GLADYS GAITAN </t>
  </si>
  <si>
    <t xml:space="preserve">COMPRA RESMAS </t>
  </si>
  <si>
    <t xml:space="preserve">TRANSPORTES GABRIEL </t>
  </si>
  <si>
    <t>TRANSPORTES EDINSON ROMERO</t>
  </si>
  <si>
    <t>ACUEDUCTO AGOSTO</t>
  </si>
  <si>
    <t xml:space="preserve">COMPRA DE GUANTES </t>
  </si>
  <si>
    <t xml:space="preserve">BORDADO CAMISAS </t>
  </si>
  <si>
    <t xml:space="preserve">COMPRA DOTACION </t>
  </si>
  <si>
    <t xml:space="preserve">CITEC </t>
  </si>
  <si>
    <t>COMPRA DE TERMOENCOGIBLE</t>
  </si>
  <si>
    <t xml:space="preserve">ALMACEN LLS </t>
  </si>
  <si>
    <t xml:space="preserve">COMPRA BOTAS </t>
  </si>
  <si>
    <t xml:space="preserve">SUPERMERCADO SANTRILLANA </t>
  </si>
  <si>
    <t xml:space="preserve">COMPRA DE AZUCAR Y CAFÉ </t>
  </si>
  <si>
    <t>COMPRA ELEMENTOS DE ASEO</t>
  </si>
  <si>
    <t xml:space="preserve">ADH  PAPELES ADHESIVOS </t>
  </si>
  <si>
    <t>COMPRA REFLECTIVO</t>
  </si>
  <si>
    <t xml:space="preserve">SAN REMO FACTORY </t>
  </si>
  <si>
    <t xml:space="preserve">COMPRA DE AGUA Y PEAJES </t>
  </si>
  <si>
    <t xml:space="preserve">DON POLL CASIQUE </t>
  </si>
  <si>
    <t xml:space="preserve">COMPRA DE ALMUERZO </t>
  </si>
  <si>
    <t xml:space="preserve">JOSE LUGO </t>
  </si>
  <si>
    <t>ANT GASTOS ESTADIA BOGOTA</t>
  </si>
  <si>
    <t xml:space="preserve">JOSE ORTEGANA </t>
  </si>
  <si>
    <t xml:space="preserve">RESTARURANTE </t>
  </si>
  <si>
    <t xml:space="preserve">ALMUERZO PERSONAS VENEZUELA </t>
  </si>
  <si>
    <t xml:space="preserve">ALMUERZO DOMINGO </t>
  </si>
  <si>
    <t>CARLOS MARTINEZ</t>
  </si>
  <si>
    <t xml:space="preserve">RIKO RIKO </t>
  </si>
  <si>
    <t xml:space="preserve">COMPRA DE RESMAS </t>
  </si>
  <si>
    <t>RESTAUARANTE SALA DE ESTUDIO</t>
  </si>
  <si>
    <t>DESAYUNO</t>
  </si>
  <si>
    <t xml:space="preserve">HENRY RINCON </t>
  </si>
  <si>
    <t>SERV TRANSPORTE</t>
  </si>
  <si>
    <t xml:space="preserve">COMPRA LIMPIADOR </t>
  </si>
  <si>
    <t>COMPRA RESMA</t>
  </si>
  <si>
    <t xml:space="preserve">COMPRA ALMUERZO </t>
  </si>
  <si>
    <t xml:space="preserve">DROGERIA MAYER </t>
  </si>
  <si>
    <t>COMPRA DE LISTERINE</t>
  </si>
  <si>
    <t>COMPRA DE  ASEO</t>
  </si>
  <si>
    <t>PROYECTO ECOPETROL</t>
  </si>
  <si>
    <t>ALMUERZO AUDITOR</t>
  </si>
  <si>
    <t>ENVIO SOBRE SUNTEC</t>
  </si>
  <si>
    <t>COMPRA 15 GALONES DE AGUA</t>
  </si>
  <si>
    <t xml:space="preserve">REFRIGERIOS REUNION </t>
  </si>
  <si>
    <t>PROYECTO CUBO</t>
  </si>
  <si>
    <t xml:space="preserve">TANIA SALUD CENTRO </t>
  </si>
  <si>
    <t xml:space="preserve">VACUNAS </t>
  </si>
  <si>
    <t xml:space="preserve">COMPRA PEGANTES </t>
  </si>
  <si>
    <t>PROYECTO INFILL B4</t>
  </si>
  <si>
    <t xml:space="preserve">CMPRA DE ADHESIVOS </t>
  </si>
  <si>
    <t xml:space="preserve">DIEGO VIVIAS </t>
  </si>
  <si>
    <t xml:space="preserve">ANTICIPO </t>
  </si>
  <si>
    <t>JOSE LUGO</t>
  </si>
  <si>
    <t>ANTICIPO VIAJE VENEZUELA</t>
  </si>
  <si>
    <t xml:space="preserve">COMPRA DE MASILLA </t>
  </si>
  <si>
    <t>REINTEGRO</t>
  </si>
  <si>
    <t xml:space="preserve">PRESTAMO DE NOMINA </t>
  </si>
  <si>
    <t>ANTICIPO</t>
  </si>
  <si>
    <t xml:space="preserve">ANT COMPRA MATERILES </t>
  </si>
  <si>
    <t xml:space="preserve">CARLOS PICO </t>
  </si>
  <si>
    <t>LA MOLIENDA DE TAVIO</t>
  </si>
  <si>
    <t xml:space="preserve">ALMUERZO REUNION </t>
  </si>
  <si>
    <t xml:space="preserve">  FECHA 03/09/2018</t>
  </si>
  <si>
    <t>ESSO FACATATIVA</t>
  </si>
  <si>
    <t>COMIDA TRABAJO NOCHE</t>
  </si>
  <si>
    <t>TAKAMI SA</t>
  </si>
  <si>
    <t>ALMUERZO LEONEL MENDOZA</t>
  </si>
  <si>
    <t>UNVERSIDAD SAN BUENAVENTURA</t>
  </si>
  <si>
    <t>SALITRE PLAZA</t>
  </si>
  <si>
    <t>PARQUEADRO JR</t>
  </si>
  <si>
    <t>LAVDAA TIIDA</t>
  </si>
  <si>
    <t xml:space="preserve">COMPRA E FILTROS </t>
  </si>
  <si>
    <t>CARLOS GARCIA</t>
  </si>
  <si>
    <t>COMPRA ASEO APTO</t>
  </si>
  <si>
    <t xml:space="preserve">AUTENTICACION </t>
  </si>
  <si>
    <t>GUISEPPE VERDI</t>
  </si>
  <si>
    <t xml:space="preserve">COMPRA DE TOALLAS </t>
  </si>
  <si>
    <t>SUPERMANZANA</t>
  </si>
  <si>
    <t>MULTIPLICA SAS</t>
  </si>
  <si>
    <t xml:space="preserve">RECARGA </t>
  </si>
  <si>
    <t xml:space="preserve">IMPRESVISTOS VIAJE </t>
  </si>
  <si>
    <t>RESTAURANTE SANDRA</t>
  </si>
  <si>
    <t xml:space="preserve">ALIMENTACION </t>
  </si>
  <si>
    <t xml:space="preserve">COMPRA   CHAZOS </t>
  </si>
  <si>
    <t>PROYEC INFILL B4</t>
  </si>
  <si>
    <t>FERREECLECTRICOS FIER</t>
  </si>
  <si>
    <t xml:space="preserve">COMPRA DE WASAS </t>
  </si>
  <si>
    <t xml:space="preserve">COMPRA ADHESIVOS </t>
  </si>
  <si>
    <t xml:space="preserve">ANTICIPO Y PAGOS </t>
  </si>
  <si>
    <t xml:space="preserve">REMBOLSO </t>
  </si>
  <si>
    <t xml:space="preserve">ANTICIPO GASTOS </t>
  </si>
  <si>
    <t>COMPRA RELOJ</t>
  </si>
  <si>
    <t>ABONO CORTE PASTO</t>
  </si>
  <si>
    <t>EDS LOS ANGELES</t>
  </si>
  <si>
    <t xml:space="preserve">COMPRA DE PLASTICO </t>
  </si>
  <si>
    <t xml:space="preserve">ENVIO SOBRE </t>
  </si>
  <si>
    <t xml:space="preserve">SOLO MOTOS </t>
  </si>
  <si>
    <t xml:space="preserve">PARQUEADERO </t>
  </si>
  <si>
    <t xml:space="preserve">CLINICA COLSANITAS </t>
  </si>
  <si>
    <t xml:space="preserve">TRASNPORTES </t>
  </si>
  <si>
    <t xml:space="preserve">EXITIDO LA PUNTA </t>
  </si>
  <si>
    <t xml:space="preserve">CAFETREIA </t>
  </si>
  <si>
    <t xml:space="preserve">COMIDA NOCHE </t>
  </si>
  <si>
    <t xml:space="preserve">DESAYUNO ALI </t>
  </si>
  <si>
    <t>LA MOLIENDA DE TAVO</t>
  </si>
  <si>
    <t>SUBWAY</t>
  </si>
  <si>
    <t xml:space="preserve">RECARGA TIGO </t>
  </si>
  <si>
    <t xml:space="preserve">DESAYUNO LEONEL </t>
  </si>
  <si>
    <t xml:space="preserve">BBI COLOMBIA </t>
  </si>
  <si>
    <t xml:space="preserve">IMPRESINES TARJETAS </t>
  </si>
  <si>
    <t>LOGISTICA</t>
  </si>
  <si>
    <t>SERVIFRENO</t>
  </si>
  <si>
    <t xml:space="preserve">COMPRA DE PASTILLAS </t>
  </si>
  <si>
    <t>COMPRA DE BATERIAS Y PANTALLA DELL</t>
  </si>
  <si>
    <t>ANTICIPO COMPRA BIOZUL</t>
  </si>
  <si>
    <t xml:space="preserve">ANTICIPO VIAJE </t>
  </si>
  <si>
    <t>PRESTAMO NOMINA</t>
  </si>
  <si>
    <t>SER TRANSPORTE</t>
  </si>
  <si>
    <t>AVILIO VALENCIA PERDOMO</t>
  </si>
  <si>
    <t xml:space="preserve">LEONARDO MEDINA </t>
  </si>
  <si>
    <t xml:space="preserve">  FECHA 08/10/2018</t>
  </si>
  <si>
    <t>05/410</t>
  </si>
  <si>
    <t>069/10</t>
  </si>
  <si>
    <t xml:space="preserve">GRUPO M &amp; M </t>
  </si>
  <si>
    <t xml:space="preserve">COMPRA LLAVES </t>
  </si>
  <si>
    <t>UNIVERSIDAD SAN BUENAVENTURA</t>
  </si>
  <si>
    <t>RETAURANTE SAN CHORIZO</t>
  </si>
  <si>
    <t>IMPRESIONSES</t>
  </si>
  <si>
    <t xml:space="preserve">EXTACION DE SERVICIO TEXACO </t>
  </si>
  <si>
    <t>PARQUEADERO LA 22</t>
  </si>
  <si>
    <t xml:space="preserve">CENTRO DIGITAL </t>
  </si>
  <si>
    <t xml:space="preserve">COMPRA LOGO SLA  PENDON </t>
  </si>
  <si>
    <t xml:space="preserve">COMPRA ASEO </t>
  </si>
  <si>
    <t>DESAYUNOS VISIRA ECP</t>
  </si>
  <si>
    <t>COMIDA TRABAJO</t>
  </si>
  <si>
    <t>PROY INFILL B4</t>
  </si>
  <si>
    <t xml:space="preserve">CHORIZO MARAVILLA </t>
  </si>
  <si>
    <t xml:space="preserve">ACUEDUCTO </t>
  </si>
  <si>
    <t xml:space="preserve">MIXX CLOTHES </t>
  </si>
  <si>
    <t xml:space="preserve">COMPRA CAMISAS </t>
  </si>
  <si>
    <t>POSTRES VISIRA ECP</t>
  </si>
  <si>
    <t>DESAYUNO LEONEL</t>
  </si>
  <si>
    <t>EDS TERMINAL NEIVA</t>
  </si>
  <si>
    <t>COMPRA DE AGUA</t>
  </si>
  <si>
    <t>COMIDA LEONEL</t>
  </si>
  <si>
    <t>TAKAMI</t>
  </si>
  <si>
    <t xml:space="preserve">PINTUIRAS PREMIER </t>
  </si>
  <si>
    <t xml:space="preserve">KIT  PINTURA </t>
  </si>
  <si>
    <t>REMBOLSO LEGALIZACION</t>
  </si>
  <si>
    <t>OIL PETROLEUM COMPANY</t>
  </si>
  <si>
    <t xml:space="preserve">SERV TRANSPORTES </t>
  </si>
  <si>
    <t xml:space="preserve">ALMUERZO SABADO </t>
  </si>
  <si>
    <t>COMPRA LIBRO</t>
  </si>
  <si>
    <t>COMPRA PAPEL DOBLE CARTA</t>
  </si>
  <si>
    <t>TEXTILES MIRATEX SAS</t>
  </si>
  <si>
    <t>COMPRA TOALLAS</t>
  </si>
  <si>
    <t>RIKO RIKO</t>
  </si>
  <si>
    <t xml:space="preserve">CONCOMER INMOBILIARIA </t>
  </si>
  <si>
    <t xml:space="preserve">PAGO PEAJES </t>
  </si>
  <si>
    <t xml:space="preserve">R5ODRIGUEZ FRANCO Y CIA </t>
  </si>
  <si>
    <t xml:space="preserve">COMPRA BUSOS </t>
  </si>
  <si>
    <t xml:space="preserve">ENVIO EFECTIVO ING ALEXANDER </t>
  </si>
  <si>
    <t xml:space="preserve">ANT VIEJE ECUADOR </t>
  </si>
  <si>
    <t>EL CHORIZO MARAVILLA</t>
  </si>
  <si>
    <t>DIAKNOS SAS</t>
  </si>
  <si>
    <t xml:space="preserve">COMPRA DE CADENAS </t>
  </si>
  <si>
    <t>HOMEECENTER</t>
  </si>
  <si>
    <t xml:space="preserve">COMPRA DE AEROSOL </t>
  </si>
  <si>
    <t xml:space="preserve">AUTOLISTO </t>
  </si>
  <si>
    <t>RSTAURANTE DONDE ARMANDO</t>
  </si>
  <si>
    <t xml:space="preserve">ALMUERZO EDINSON </t>
  </si>
  <si>
    <t xml:space="preserve">RIKI POLLO </t>
  </si>
  <si>
    <t xml:space="preserve">RESTAURANTE TAI WAN </t>
  </si>
  <si>
    <t>CLEANHERAT PRODUCTS SAS</t>
  </si>
  <si>
    <t xml:space="preserve">COMPRA VASELINA </t>
  </si>
  <si>
    <t>PROYEC INFIL B4</t>
  </si>
  <si>
    <t xml:space="preserve">COMPRA DE SOLDADURA </t>
  </si>
  <si>
    <t>COMPRA DE BOTAS SOLDADOR</t>
  </si>
  <si>
    <t>HSEQ</t>
  </si>
  <si>
    <t xml:space="preserve">PAGOS Y ANTICIPOS </t>
  </si>
  <si>
    <t>MANOPLAS</t>
  </si>
  <si>
    <t xml:space="preserve">COMPRA LAMINAS </t>
  </si>
  <si>
    <t xml:space="preserve">PGO SALDO CTA COBRO </t>
  </si>
  <si>
    <t>PARQUEADERO LOW COST</t>
  </si>
  <si>
    <t>CENTRO COMERCIAL NIZA</t>
  </si>
  <si>
    <t xml:space="preserve">LAVADA MANTELES </t>
  </si>
  <si>
    <t>PARKING BROKERS</t>
  </si>
  <si>
    <t xml:space="preserve">PAN PA YA </t>
  </si>
  <si>
    <t>REFRIGERIOS VISITA</t>
  </si>
  <si>
    <t>LEONARDO MEDINA</t>
  </si>
  <si>
    <t xml:space="preserve">TALLER MJ </t>
  </si>
  <si>
    <t>ARREGLO CAMIONETA</t>
  </si>
  <si>
    <t>BORDADO TIPO BOLSILLO</t>
  </si>
  <si>
    <t>PARQUEADERO JHR</t>
  </si>
  <si>
    <t xml:space="preserve">PAPELERIA  Y CAROS </t>
  </si>
  <si>
    <t xml:space="preserve">LAVADO NAVARA </t>
  </si>
  <si>
    <t>SUPERMERCADO ARROYAVE</t>
  </si>
  <si>
    <t xml:space="preserve">COMPRA DE BEBIDA </t>
  </si>
  <si>
    <t xml:space="preserve">PAPELERIA Y CAROS </t>
  </si>
  <si>
    <t xml:space="preserve">COMPRA CABLES INICIAR </t>
  </si>
  <si>
    <t xml:space="preserve">MISAEL DE JESUS CORTES </t>
  </si>
  <si>
    <t xml:space="preserve">MTTO NAVARA </t>
  </si>
  <si>
    <t xml:space="preserve">COMPRA BEBIDAS </t>
  </si>
  <si>
    <t xml:space="preserve">NELSON GOMEZ </t>
  </si>
  <si>
    <t xml:space="preserve">COMPRA NISPEROS </t>
  </si>
  <si>
    <t xml:space="preserve">SERV TRASNPORTES </t>
  </si>
  <si>
    <t xml:space="preserve">ADMINISTRACION </t>
  </si>
  <si>
    <t xml:space="preserve">PROYECTO INFILL B4 </t>
  </si>
  <si>
    <t>MTTO PULIDORA</t>
  </si>
  <si>
    <t>RESTAURANTE CHORIZO MARAVILLA</t>
  </si>
  <si>
    <t>ALMUERZO INTERVENTOR</t>
  </si>
  <si>
    <t>AGAMIX</t>
  </si>
  <si>
    <t>COMPRA SOLDADURA</t>
  </si>
  <si>
    <t xml:space="preserve">COMPRA DE BOTA SOLDADOR </t>
  </si>
  <si>
    <t xml:space="preserve">COMPRA DE SOLDADURA /LIMPIADORES </t>
  </si>
  <si>
    <t xml:space="preserve">COMPRA TERMOENCOGIBLE </t>
  </si>
  <si>
    <t>FERREELECTRICOS TRIER</t>
  </si>
  <si>
    <t>COMPRA DISCOS</t>
  </si>
  <si>
    <t>PUBLIGRAFICOS</t>
  </si>
  <si>
    <t>COMPRA VINILO</t>
  </si>
  <si>
    <t xml:space="preserve">COMPRA DE THINNER </t>
  </si>
  <si>
    <t xml:space="preserve">COMPRA CINTA </t>
  </si>
  <si>
    <t>ESTIVEN LIZARAZO</t>
  </si>
  <si>
    <t>ANT GASTOS INGENIERO</t>
  </si>
  <si>
    <t xml:space="preserve">PRESTAMO </t>
  </si>
  <si>
    <t xml:space="preserve">ANTICIPO DE VIAJE </t>
  </si>
  <si>
    <t xml:space="preserve">ALEXANDER TORRES </t>
  </si>
  <si>
    <t xml:space="preserve">INCVERSIONES ESCOBAR </t>
  </si>
  <si>
    <t xml:space="preserve">PAPELERIA </t>
  </si>
  <si>
    <t xml:space="preserve">DESAYUNOS </t>
  </si>
  <si>
    <t xml:space="preserve">EL CHIRIZO MARVILLA </t>
  </si>
  <si>
    <t xml:space="preserve">BONO </t>
  </si>
  <si>
    <t>RESTAURANTE YANUBA</t>
  </si>
  <si>
    <t xml:space="preserve">INVERSIONS ESCOBAR </t>
  </si>
  <si>
    <t xml:space="preserve">ALMUERZO ALI LASTRA </t>
  </si>
  <si>
    <t>AUTOLAVADO</t>
  </si>
  <si>
    <t xml:space="preserve">DANIEL MANRIQUE </t>
  </si>
  <si>
    <t>CERTIFICADO</t>
  </si>
  <si>
    <t xml:space="preserve">CONVERSOR </t>
  </si>
  <si>
    <t xml:space="preserve">MARLON CABALLERO </t>
  </si>
  <si>
    <t xml:space="preserve">PANTALLA SLIM </t>
  </si>
  <si>
    <t>SISTEMAS JPF</t>
  </si>
  <si>
    <t xml:space="preserve">COMPRA DE MOUSE Y BASES </t>
  </si>
  <si>
    <t xml:space="preserve">PIZZA </t>
  </si>
  <si>
    <t xml:space="preserve">COMPRA DE PIZZAS </t>
  </si>
  <si>
    <t xml:space="preserve">COMPRA DE GASEOSOAS </t>
  </si>
  <si>
    <t>PARKMOTO</t>
  </si>
  <si>
    <t>PARQUEADERO SAN BUENAVENTURA</t>
  </si>
  <si>
    <t xml:space="preserve">COMPRA PINTUIRAS </t>
  </si>
  <si>
    <t xml:space="preserve">PINTURAS PREMIER </t>
  </si>
  <si>
    <t xml:space="preserve">DESAYUNO </t>
  </si>
  <si>
    <t xml:space="preserve">EDINSON ROMERO </t>
  </si>
  <si>
    <t xml:space="preserve">  FECHA 07/11/2018</t>
  </si>
  <si>
    <t xml:space="preserve">ESTIVEN LIZARAZO </t>
  </si>
  <si>
    <t xml:space="preserve">AGUA SAN REMO </t>
  </si>
  <si>
    <t xml:space="preserve">COMPA DE AGUA </t>
  </si>
  <si>
    <t>JOSE GUTIERRREZ</t>
  </si>
  <si>
    <t xml:space="preserve">COMPRA CEMENTO </t>
  </si>
  <si>
    <t xml:space="preserve">PROSERVET </t>
  </si>
  <si>
    <t xml:space="preserve">VACUNAS  Y BAÑADA PERROS </t>
  </si>
  <si>
    <t xml:space="preserve">KEMICAL PRODUTOS </t>
  </si>
  <si>
    <t>COMPRA DE BIOZUL</t>
  </si>
  <si>
    <t xml:space="preserve">GAS SUMAPAZ </t>
  </si>
  <si>
    <t xml:space="preserve">COMPRA 4 CILINDROS MONTACARGA </t>
  </si>
  <si>
    <t xml:space="preserve">PROYE CUBO </t>
  </si>
  <si>
    <t>RESTAURANTE BARICHARA</t>
  </si>
  <si>
    <t xml:space="preserve">ALMUERZO AUDITOR </t>
  </si>
  <si>
    <t>DESAYUNO VISITA ECP</t>
  </si>
  <si>
    <t>COMPRA DE AGUAS VISITA</t>
  </si>
  <si>
    <t>PROYEC SKID SPOT</t>
  </si>
  <si>
    <t xml:space="preserve">COMPRA DE TEJAS </t>
  </si>
  <si>
    <t xml:space="preserve">DIAZMIN HEREIDA ROJAS </t>
  </si>
  <si>
    <t>COMPRA DE LLAVES CERRADAS</t>
  </si>
  <si>
    <t>PAGO ACUEDUCTO</t>
  </si>
  <si>
    <t>VILLA LEIDY</t>
  </si>
  <si>
    <t>PARQUEADRO SAN BUENAVENTURA</t>
  </si>
  <si>
    <t xml:space="preserve">ITAU </t>
  </si>
  <si>
    <t>REMBOLSO BANCO</t>
  </si>
  <si>
    <t>PATRIMONIOS AUTONOMOS FIDUCIARIA BANCOLOMBIA S A</t>
  </si>
  <si>
    <t>PEAJE PUERTO TRIUNFO</t>
  </si>
  <si>
    <t>EL PROGRESO</t>
  </si>
  <si>
    <t>DESCO SERVICIOS SAS</t>
  </si>
  <si>
    <t>FOGON PAISA SAS</t>
  </si>
  <si>
    <t>ARRECIFES</t>
  </si>
  <si>
    <t>ALI JOSE LASTRA RIVERO</t>
  </si>
  <si>
    <t>COMPRAS VARIAS</t>
  </si>
  <si>
    <t>ALI JOSE LASTRA C EXT. 402929</t>
  </si>
  <si>
    <t>INVERSIONES QUIRIGUA</t>
  </si>
  <si>
    <t xml:space="preserve">STIVEN LIZARAZO </t>
  </si>
  <si>
    <t xml:space="preserve">GASTRONOMIA ITALIANA </t>
  </si>
  <si>
    <t xml:space="preserve">ALMURZO REUNION </t>
  </si>
  <si>
    <t>LAVADA NAVARA Y TIIDA</t>
  </si>
  <si>
    <t>NOTARIA SEGUNDA</t>
  </si>
  <si>
    <t xml:space="preserve">CEMENTOS LA SABANA </t>
  </si>
  <si>
    <t xml:space="preserve">COMPRA DE DISCOS DE CORTE </t>
  </si>
  <si>
    <t xml:space="preserve">JAIRO ESPITIA </t>
  </si>
  <si>
    <t>COMIDA TRABJO NOCHE</t>
  </si>
  <si>
    <t>JAIR PEÑA</t>
  </si>
  <si>
    <t>COMPRA DE BROCAS</t>
  </si>
  <si>
    <t xml:space="preserve">COMPRA DE DOTACION </t>
  </si>
  <si>
    <t>ZIELLO</t>
  </si>
  <si>
    <t xml:space="preserve">REVISION DE LUCES CAMIONETA </t>
  </si>
  <si>
    <t xml:space="preserve">WILSON RINCON </t>
  </si>
  <si>
    <t>INSTITUTO DE REPRODUCCION HUMANA PROCREAR</t>
  </si>
  <si>
    <t>CONSULTA GINECOLOGICA</t>
  </si>
  <si>
    <t xml:space="preserve">SUMINISTROS PARA EL CAMPO </t>
  </si>
  <si>
    <t xml:space="preserve">COMPRA DE RGISTRO Y TAPON </t>
  </si>
  <si>
    <t xml:space="preserve">ARGEMIRO BARON APOMTE </t>
  </si>
  <si>
    <t>COMPRA RODAMIENTO</t>
  </si>
  <si>
    <t xml:space="preserve">ANT NOMINA NOVIEMBRE </t>
  </si>
  <si>
    <t>PAGO FACTURA 143</t>
  </si>
  <si>
    <t>ABONO CORTE DE PASTO</t>
  </si>
  <si>
    <t xml:space="preserve">COMPRAS CAFETERIA </t>
  </si>
  <si>
    <t xml:space="preserve">COMPRA DE ARANDELAS </t>
  </si>
  <si>
    <t xml:space="preserve">MUNDIAL DE TORNILLO </t>
  </si>
  <si>
    <t>TURBO BRILLO</t>
  </si>
  <si>
    <t xml:space="preserve">  FECHA 19/11/2018</t>
  </si>
  <si>
    <t xml:space="preserve">RIKO RIKO RESTAURANTE </t>
  </si>
  <si>
    <t xml:space="preserve">COMIDA TRABJO NOCHE </t>
  </si>
  <si>
    <t xml:space="preserve">ELETROILUMINACIIONES RAMO </t>
  </si>
  <si>
    <t>COMPRA DE CONETORSE RECTOS</t>
  </si>
  <si>
    <t xml:space="preserve">COMPRA DE TORNILLOS </t>
  </si>
  <si>
    <t xml:space="preserve">COMPRA DE CINTAS </t>
  </si>
  <si>
    <t xml:space="preserve">COMPRA DE PLATINAS </t>
  </si>
  <si>
    <t>NOMBRE: CARLOS BOCANEGRA</t>
  </si>
  <si>
    <t xml:space="preserve">           NOMBRE: JAIEM BELTRAN </t>
  </si>
  <si>
    <t xml:space="preserve">BCP ECUADOR </t>
  </si>
  <si>
    <t xml:space="preserve">ANT VIAJE ECUADOR </t>
  </si>
  <si>
    <t>ADALBERTO CASTRO</t>
  </si>
  <si>
    <t xml:space="preserve">ENERYA SAS </t>
  </si>
  <si>
    <t xml:space="preserve">EL TAMBOR </t>
  </si>
  <si>
    <t>ALI LASTRA  CE: 402.929</t>
  </si>
  <si>
    <t xml:space="preserve">TERRAMUM DESARROLLO SAS </t>
  </si>
  <si>
    <t xml:space="preserve">PARQUADERO </t>
  </si>
  <si>
    <t xml:space="preserve">EL CHIROZO MARAVILLA </t>
  </si>
  <si>
    <t>ZIELLO CLUB RACING</t>
  </si>
  <si>
    <t xml:space="preserve">REPUESTOS NAVARA </t>
  </si>
  <si>
    <t xml:space="preserve">EL TECHO MEXICANO </t>
  </si>
  <si>
    <t>BOGOTA PARKING COMPANY</t>
  </si>
  <si>
    <t xml:space="preserve">RESTAURANTE PASTARTE </t>
  </si>
  <si>
    <t xml:space="preserve">PARROQUIA SANTA CLARA </t>
  </si>
  <si>
    <t xml:space="preserve">COMPRA DE CONVERSOR </t>
  </si>
  <si>
    <t xml:space="preserve">PARQUEADERO SAN BUENAVENTURA </t>
  </si>
  <si>
    <t>PARQUEADERO PUBLICO LOS QUINTREO</t>
  </si>
  <si>
    <t xml:space="preserve">PROYECTO KERUI WOS </t>
  </si>
  <si>
    <t>COMPRA DE AEROSOL</t>
  </si>
  <si>
    <t xml:space="preserve">ELECTRO IGOM </t>
  </si>
  <si>
    <t xml:space="preserve">COMPRA DE MATERIALES </t>
  </si>
  <si>
    <t xml:space="preserve">MAXI CAUCHOS </t>
  </si>
  <si>
    <t xml:space="preserve">COMPRA DE EMPAQUES </t>
  </si>
  <si>
    <t xml:space="preserve">COMPRA DE RJ PLUG </t>
  </si>
  <si>
    <t xml:space="preserve">MARIA SILVA GACHA </t>
  </si>
  <si>
    <t xml:space="preserve">COMPRA DE PEGANTE </t>
  </si>
  <si>
    <t xml:space="preserve">ROGELIO GARCIA </t>
  </si>
  <si>
    <t xml:space="preserve">COMPRA DE LLAVES COIAS </t>
  </si>
  <si>
    <t>PROYECTO ECOPETROL INFILL B4</t>
  </si>
  <si>
    <t xml:space="preserve">ELECTRO ILUMINACIONES </t>
  </si>
  <si>
    <t>COMPRA DE CINTAS AISLANTE</t>
  </si>
  <si>
    <t xml:space="preserve">COMPRA HERRAJE PUERTA </t>
  </si>
  <si>
    <t>COMPRA PORTAMINAS / PLUMIGRAFO</t>
  </si>
  <si>
    <t xml:space="preserve">COMPRA ZAPATOS </t>
  </si>
  <si>
    <t xml:space="preserve">ENVIO FACTURA </t>
  </si>
  <si>
    <t xml:space="preserve">JAIR PEÑA </t>
  </si>
  <si>
    <t xml:space="preserve">SER TRANSPORTE </t>
  </si>
  <si>
    <t xml:space="preserve">COMIDA PRODUCCION </t>
  </si>
  <si>
    <t xml:space="preserve">CRISTIA MUÑOZ </t>
  </si>
  <si>
    <t xml:space="preserve">EDS LAS ORQUIDEAS </t>
  </si>
  <si>
    <t>PAGO CORTE PASTO CTA CB</t>
  </si>
  <si>
    <t xml:space="preserve">REMBOLSO LEGALIZCION </t>
  </si>
  <si>
    <t xml:space="preserve">PROYECTO TISQUIRAMA </t>
  </si>
  <si>
    <t xml:space="preserve">ALMUERZO INTERNVENTOR </t>
  </si>
  <si>
    <t xml:space="preserve">INGENIERIA </t>
  </si>
  <si>
    <t xml:space="preserve">MANUEL VARGAS </t>
  </si>
  <si>
    <t xml:space="preserve">COMPRA DE KIT MTTO </t>
  </si>
  <si>
    <t>SOHHO TECHNOLOGY</t>
  </si>
  <si>
    <t xml:space="preserve">COMPRA DISCO DURO Y PANTALLA </t>
  </si>
  <si>
    <t>ENVIO PAQUETE CAMPO</t>
  </si>
  <si>
    <t xml:space="preserve">ADH PPELE ADHESIVOS </t>
  </si>
  <si>
    <t xml:space="preserve">COMPRA DE REFLECTIVO </t>
  </si>
  <si>
    <t xml:space="preserve">DISFELECTRICOS </t>
  </si>
  <si>
    <t xml:space="preserve">JOSE DEL C LLANOS </t>
  </si>
  <si>
    <t xml:space="preserve">COMPRA DE CERRADURAS </t>
  </si>
  <si>
    <t xml:space="preserve">BANCO DE PRUEBAS </t>
  </si>
  <si>
    <t>COMRPA DE AGAMIX Y OXIGENO</t>
  </si>
  <si>
    <t xml:space="preserve">SERGIO MEDINA LOPEZ </t>
  </si>
  <si>
    <t xml:space="preserve">ANT  NOMINA NOVIEMBRE </t>
  </si>
  <si>
    <t xml:space="preserve">CARLOS VALBUENAS </t>
  </si>
  <si>
    <t xml:space="preserve">PRESTAMO NOMINA NOVIEMBRE </t>
  </si>
  <si>
    <t xml:space="preserve">JAIME MELGAREJO </t>
  </si>
  <si>
    <t xml:space="preserve">POLI PIQUE </t>
  </si>
  <si>
    <t xml:space="preserve">COMPRA DE ZUNNCHOS </t>
  </si>
  <si>
    <t xml:space="preserve">LILIANA BARRERA </t>
  </si>
  <si>
    <t xml:space="preserve">COMPRA DE CAJAS PASTILLAS </t>
  </si>
  <si>
    <t xml:space="preserve">WOS CONDOR ECUADOR </t>
  </si>
  <si>
    <t xml:space="preserve">ELVER ALFONSO RAMOS </t>
  </si>
  <si>
    <t xml:space="preserve">COMPRA D AHISLADORES </t>
  </si>
  <si>
    <t xml:space="preserve">  FECHA 03/12/2018</t>
  </si>
  <si>
    <t xml:space="preserve">DIAZMIN HEREDIA  ROJAS </t>
  </si>
  <si>
    <t xml:space="preserve">COPIAS DE LLAVES OFICINAS </t>
  </si>
  <si>
    <t xml:space="preserve">LUIS DUARTE </t>
  </si>
  <si>
    <t>TRANSPORTE TABLERO GIM</t>
  </si>
  <si>
    <t xml:space="preserve">LOGISTICA </t>
  </si>
  <si>
    <t xml:space="preserve">CARLOS VALBUENA </t>
  </si>
  <si>
    <t xml:space="preserve">PARQUEADERO  HITOL </t>
  </si>
  <si>
    <t>223/11</t>
  </si>
  <si>
    <t>STEVEN LIZARAZO</t>
  </si>
  <si>
    <t>PROYECTO CONDOR ECUADOR WOS 2</t>
  </si>
  <si>
    <t xml:space="preserve">COMPRA TORNILLERIA </t>
  </si>
  <si>
    <t xml:space="preserve">ECOPÉTROL SERVICIOS </t>
  </si>
  <si>
    <t xml:space="preserve">ECUADOR </t>
  </si>
  <si>
    <t xml:space="preserve">ENVIO PAQUETE JHON IVAN </t>
  </si>
  <si>
    <t xml:space="preserve">LINA TRINIDAD  MORALES </t>
  </si>
  <si>
    <t xml:space="preserve">COMPRA CUCHILLAS </t>
  </si>
  <si>
    <t xml:space="preserve">UNIVERSIDAD SAN BUENAVENTURA </t>
  </si>
  <si>
    <t xml:space="preserve">PARQUEADERO LA COST </t>
  </si>
  <si>
    <t>PARQUEDERO LS31 B</t>
  </si>
  <si>
    <t xml:space="preserve">COMPRA RECIBOS DE CJA </t>
  </si>
  <si>
    <t>PARQUEADERO SOLO MOTOQ</t>
  </si>
  <si>
    <t xml:space="preserve">SERVICIOS ECOPETROL </t>
  </si>
  <si>
    <t>ANT VIAJE ECUADOR</t>
  </si>
  <si>
    <t>ANTCOMPRAS VARIAS EUROS</t>
  </si>
  <si>
    <t xml:space="preserve">  FECHA 30/11/2018</t>
  </si>
  <si>
    <t>PASAJE</t>
  </si>
  <si>
    <t>VIATICOS</t>
  </si>
  <si>
    <t>RAMON ALBERTO PORRAS RUEDA   -CC: 91519664</t>
  </si>
  <si>
    <t xml:space="preserve">  FECHA 27/04/2022</t>
  </si>
  <si>
    <t>JUAN PABLO VELANDIA</t>
  </si>
  <si>
    <t>TAXI</t>
  </si>
  <si>
    <t xml:space="preserve">        NOMBRE: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</si>
</sst>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$&quot;\ * #,##0_-;\-&quot;$&quot;\ * #,##0_-;_-&quot;$&quot;\ * &quot;-&quot;_-;_-@_-"/>
    <numFmt numFmtId="164" formatCode="_(* #,##0.00_);_(* \(#,##0.00\);_(* &quot;-&quot;??_);_(@_)"/>
    <numFmt numFmtId="165" formatCode="_-* #,##0.00\ _€_-;\-* #,##0.00\ _€_-;_-* &quot;-&quot;??\ _€_-;_-@_-"/>
    <numFmt numFmtId="166" formatCode="_ * #,##0.00_ ;_ * \-#,##0.00_ ;_ * &quot;-&quot;??_ ;_ @_ "/>
    <numFmt numFmtId="167" formatCode="_-* #,##0\ _€_-;\-* #,##0\ _€_-;_-* &quot;-&quot;??\ _€_-;_-@_-"/>
    <numFmt numFmtId="168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64">
    <xf numFmtId="0" fontId="0" fillId="0" borderId="0" xfId="0"/>
    <xf numFmtId="0" fontId="1" fillId="0" borderId="0" xfId="0" applyFont="1"/>
    <xf numFmtId="164" fontId="1" fillId="0" borderId="0" xfId="1" applyFont="1"/>
    <xf numFmtId="1" fontId="0" fillId="0" borderId="0" xfId="1" applyNumberFormat="1" applyFont="1"/>
    <xf numFmtId="0" fontId="0" fillId="0" borderId="0" xfId="0" applyFont="1"/>
    <xf numFmtId="14" fontId="1" fillId="0" borderId="0" xfId="0" applyNumberFormat="1" applyFont="1"/>
    <xf numFmtId="14" fontId="0" fillId="0" borderId="0" xfId="0" applyNumberFormat="1"/>
    <xf numFmtId="3" fontId="0" fillId="0" borderId="0" xfId="0" applyNumberFormat="1"/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2" xfId="2" applyNumberFormat="1" applyFont="1" applyBorder="1" applyAlignment="1" applyProtection="1">
      <alignment horizontal="center" vertical="center"/>
      <protection locked="0"/>
    </xf>
    <xf numFmtId="14" fontId="4" fillId="0" borderId="1" xfId="2" applyNumberFormat="1" applyFont="1" applyBorder="1" applyAlignment="1" applyProtection="1">
      <alignment horizontal="center" vertical="center"/>
      <protection locked="0"/>
    </xf>
    <xf numFmtId="49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 applyProtection="1">
      <alignment horizontal="left" vertical="center" wrapText="1"/>
      <protection locked="0"/>
    </xf>
    <xf numFmtId="3" fontId="4" fillId="0" borderId="3" xfId="2" applyNumberFormat="1" applyFont="1" applyBorder="1" applyAlignment="1" applyProtection="1">
      <alignment horizontal="center" vertical="center"/>
      <protection locked="0"/>
    </xf>
    <xf numFmtId="3" fontId="4" fillId="0" borderId="6" xfId="2" applyNumberFormat="1" applyFont="1" applyBorder="1" applyAlignment="1" applyProtection="1">
      <alignment horizontal="center" vertical="center"/>
      <protection locked="0"/>
    </xf>
    <xf numFmtId="14" fontId="3" fillId="0" borderId="37" xfId="2" applyNumberFormat="1" applyFont="1" applyBorder="1" applyAlignment="1" applyProtection="1">
      <alignment horizontal="center" vertical="center"/>
      <protection locked="0"/>
    </xf>
    <xf numFmtId="3" fontId="3" fillId="0" borderId="7" xfId="1" applyNumberFormat="1" applyFont="1" applyFill="1" applyBorder="1" applyAlignment="1" applyProtection="1">
      <alignment horizontal="right"/>
      <protection locked="0"/>
    </xf>
    <xf numFmtId="2" fontId="3" fillId="0" borderId="7" xfId="2" applyNumberFormat="1" applyFont="1" applyFill="1" applyBorder="1" applyProtection="1">
      <protection locked="0"/>
    </xf>
    <xf numFmtId="2" fontId="3" fillId="0" borderId="7" xfId="2" applyNumberFormat="1" applyFont="1" applyFill="1" applyBorder="1" applyAlignment="1" applyProtection="1">
      <alignment wrapText="1"/>
      <protection locked="0"/>
    </xf>
    <xf numFmtId="3" fontId="3" fillId="0" borderId="7" xfId="3" applyNumberFormat="1" applyFont="1" applyFill="1" applyBorder="1" applyAlignment="1" applyProtection="1">
      <alignment horizontal="right" vertical="center"/>
      <protection locked="0"/>
    </xf>
    <xf numFmtId="2" fontId="3" fillId="0" borderId="7" xfId="2" applyNumberFormat="1" applyFont="1" applyFill="1" applyBorder="1" applyAlignment="1" applyProtection="1">
      <alignment horizontal="right" vertical="center"/>
      <protection locked="0"/>
    </xf>
    <xf numFmtId="3" fontId="3" fillId="2" borderId="8" xfId="3" applyNumberFormat="1" applyFont="1" applyFill="1" applyBorder="1" applyAlignment="1" applyProtection="1">
      <alignment horizontal="right" vertical="center"/>
      <protection locked="0" hidden="1"/>
    </xf>
    <xf numFmtId="3" fontId="4" fillId="0" borderId="9" xfId="2" applyNumberFormat="1" applyFont="1" applyBorder="1" applyAlignment="1" applyProtection="1">
      <alignment horizontal="center" vertical="center"/>
      <protection locked="0"/>
    </xf>
    <xf numFmtId="3" fontId="4" fillId="0" borderId="10" xfId="2" applyNumberFormat="1" applyFont="1" applyBorder="1" applyAlignment="1" applyProtection="1">
      <alignment horizontal="center" vertical="center"/>
      <protection locked="0"/>
    </xf>
    <xf numFmtId="14" fontId="3" fillId="0" borderId="38" xfId="2" applyNumberFormat="1" applyFont="1" applyBorder="1" applyAlignment="1" applyProtection="1">
      <alignment horizontal="center" vertical="center"/>
      <protection locked="0"/>
    </xf>
    <xf numFmtId="3" fontId="3" fillId="0" borderId="10" xfId="1" applyNumberFormat="1" applyFont="1" applyFill="1" applyBorder="1" applyAlignment="1" applyProtection="1">
      <alignment horizontal="right"/>
      <protection locked="0"/>
    </xf>
    <xf numFmtId="2" fontId="3" fillId="0" borderId="10" xfId="2" applyNumberFormat="1" applyFont="1" applyFill="1" applyBorder="1" applyProtection="1">
      <protection locked="0"/>
    </xf>
    <xf numFmtId="2" fontId="3" fillId="0" borderId="10" xfId="2" applyNumberFormat="1" applyFont="1" applyFill="1" applyBorder="1" applyAlignment="1" applyProtection="1">
      <alignment wrapText="1"/>
      <protection locked="0"/>
    </xf>
    <xf numFmtId="3" fontId="3" fillId="0" borderId="10" xfId="3" applyNumberFormat="1" applyFont="1" applyFill="1" applyBorder="1" applyAlignment="1" applyProtection="1">
      <alignment horizontal="right" vertical="center"/>
      <protection locked="0"/>
    </xf>
    <xf numFmtId="2" fontId="3" fillId="0" borderId="10" xfId="2" applyNumberFormat="1" applyFont="1" applyFill="1" applyBorder="1" applyAlignment="1" applyProtection="1">
      <alignment horizontal="right" vertical="center"/>
      <protection locked="0"/>
    </xf>
    <xf numFmtId="3" fontId="3" fillId="2" borderId="11" xfId="3" applyNumberFormat="1" applyFont="1" applyFill="1" applyBorder="1" applyAlignment="1" applyProtection="1">
      <alignment horizontal="right" vertical="center"/>
      <protection locked="0" hidden="1"/>
    </xf>
    <xf numFmtId="14" fontId="3" fillId="0" borderId="10" xfId="2" applyNumberFormat="1" applyFont="1" applyBorder="1" applyAlignment="1" applyProtection="1">
      <alignment horizontal="center" vertical="center"/>
      <protection locked="0"/>
    </xf>
    <xf numFmtId="0" fontId="3" fillId="0" borderId="2" xfId="2" applyFont="1" applyFill="1" applyBorder="1" applyProtection="1">
      <protection locked="0"/>
    </xf>
    <xf numFmtId="3" fontId="4" fillId="3" borderId="2" xfId="3" applyNumberFormat="1" applyFont="1" applyFill="1" applyBorder="1" applyAlignment="1" applyProtection="1">
      <alignment horizontal="right"/>
      <protection locked="0"/>
    </xf>
    <xf numFmtId="3" fontId="3" fillId="0" borderId="26" xfId="4" applyNumberFormat="1" applyFont="1" applyBorder="1" applyAlignment="1" applyProtection="1">
      <alignment horizontal="right"/>
      <protection locked="0"/>
    </xf>
    <xf numFmtId="3" fontId="3" fillId="0" borderId="30" xfId="4" applyNumberFormat="1" applyFont="1" applyBorder="1" applyAlignment="1" applyProtection="1">
      <protection locked="0"/>
    </xf>
    <xf numFmtId="3" fontId="4" fillId="0" borderId="33" xfId="2" applyNumberFormat="1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5" fillId="0" borderId="27" xfId="0" applyFont="1" applyBorder="1" applyProtection="1">
      <protection locked="0"/>
    </xf>
    <xf numFmtId="0" fontId="5" fillId="0" borderId="18" xfId="0" applyFont="1" applyBorder="1" applyProtection="1">
      <protection locked="0"/>
    </xf>
    <xf numFmtId="0" fontId="4" fillId="0" borderId="2" xfId="2" applyFont="1" applyBorder="1" applyProtection="1">
      <protection locked="0"/>
    </xf>
    <xf numFmtId="167" fontId="4" fillId="0" borderId="34" xfId="1" applyNumberFormat="1" applyFont="1" applyBorder="1" applyProtection="1">
      <protection locked="0"/>
    </xf>
    <xf numFmtId="3" fontId="5" fillId="0" borderId="0" xfId="0" applyNumberFormat="1" applyFont="1" applyBorder="1" applyProtection="1">
      <protection locked="0"/>
    </xf>
    <xf numFmtId="164" fontId="5" fillId="0" borderId="27" xfId="1" applyFont="1" applyBorder="1" applyProtection="1">
      <protection locked="0"/>
    </xf>
    <xf numFmtId="167" fontId="4" fillId="0" borderId="2" xfId="1" applyNumberFormat="1" applyFont="1" applyBorder="1" applyProtection="1">
      <protection locked="0"/>
    </xf>
    <xf numFmtId="0" fontId="4" fillId="0" borderId="20" xfId="2" applyFont="1" applyBorder="1" applyProtection="1">
      <protection locked="0"/>
    </xf>
    <xf numFmtId="0" fontId="6" fillId="0" borderId="20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27" xfId="0" applyFont="1" applyBorder="1" applyProtection="1">
      <protection locked="0"/>
    </xf>
    <xf numFmtId="0" fontId="3" fillId="0" borderId="0" xfId="2" applyFont="1" applyBorder="1" applyProtection="1">
      <protection locked="0"/>
    </xf>
    <xf numFmtId="14" fontId="3" fillId="0" borderId="0" xfId="2" applyNumberFormat="1" applyFont="1" applyBorder="1" applyProtection="1">
      <protection locked="0"/>
    </xf>
    <xf numFmtId="0" fontId="6" fillId="0" borderId="20" xfId="0" applyFont="1" applyBorder="1" applyAlignment="1" applyProtection="1">
      <alignment horizontal="center"/>
      <protection locked="0"/>
    </xf>
    <xf numFmtId="14" fontId="6" fillId="0" borderId="35" xfId="0" applyNumberFormat="1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167" fontId="5" fillId="0" borderId="0" xfId="0" applyNumberFormat="1" applyFont="1" applyBorder="1" applyProtection="1">
      <protection locked="0"/>
    </xf>
    <xf numFmtId="0" fontId="5" fillId="0" borderId="15" xfId="0" applyFont="1" applyBorder="1" applyAlignment="1" applyProtection="1">
      <alignment horizontal="center"/>
      <protection locked="0"/>
    </xf>
    <xf numFmtId="167" fontId="3" fillId="0" borderId="16" xfId="1" applyNumberFormat="1" applyFont="1" applyBorder="1" applyAlignment="1" applyProtection="1">
      <alignment horizontal="center"/>
      <protection locked="0"/>
    </xf>
    <xf numFmtId="3" fontId="3" fillId="0" borderId="17" xfId="2" applyNumberFormat="1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167" fontId="5" fillId="0" borderId="0" xfId="0" applyNumberFormat="1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167" fontId="3" fillId="0" borderId="10" xfId="1" applyNumberFormat="1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13" xfId="0" applyFont="1" applyBorder="1" applyAlignment="1" applyProtection="1">
      <alignment horizontal="center"/>
      <protection locked="0"/>
    </xf>
    <xf numFmtId="167" fontId="3" fillId="0" borderId="14" xfId="1" applyNumberFormat="1" applyFont="1" applyBorder="1" applyAlignment="1" applyProtection="1">
      <alignment horizontal="center"/>
      <protection locked="0"/>
    </xf>
    <xf numFmtId="14" fontId="5" fillId="0" borderId="0" xfId="0" applyNumberFormat="1" applyFont="1" applyBorder="1" applyProtection="1">
      <protection locked="0"/>
    </xf>
    <xf numFmtId="3" fontId="6" fillId="0" borderId="2" xfId="0" applyNumberFormat="1" applyFont="1" applyBorder="1" applyAlignment="1" applyProtection="1">
      <alignment horizontal="center"/>
      <protection locked="0"/>
    </xf>
    <xf numFmtId="0" fontId="1" fillId="0" borderId="19" xfId="0" applyFont="1" applyBorder="1" applyProtection="1">
      <protection locked="0"/>
    </xf>
    <xf numFmtId="0" fontId="0" fillId="0" borderId="21" xfId="0" applyBorder="1" applyAlignment="1" applyProtection="1">
      <alignment horizontal="center"/>
      <protection locked="0"/>
    </xf>
    <xf numFmtId="14" fontId="0" fillId="0" borderId="21" xfId="0" applyNumberFormat="1" applyBorder="1" applyProtection="1">
      <protection locked="0"/>
    </xf>
    <xf numFmtId="14" fontId="1" fillId="0" borderId="22" xfId="0" applyNumberFormat="1" applyFont="1" applyBorder="1" applyProtection="1">
      <protection locked="0"/>
    </xf>
    <xf numFmtId="0" fontId="1" fillId="0" borderId="21" xfId="0" applyFont="1" applyBorder="1" applyProtection="1">
      <protection locked="0"/>
    </xf>
    <xf numFmtId="0" fontId="1" fillId="0" borderId="22" xfId="0" applyFont="1" applyBorder="1" applyProtection="1"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43" xfId="2" applyNumberFormat="1" applyFont="1" applyBorder="1" applyAlignment="1" applyProtection="1">
      <alignment horizontal="center" vertical="center"/>
      <protection locked="0"/>
    </xf>
    <xf numFmtId="3" fontId="4" fillId="0" borderId="24" xfId="2" applyNumberFormat="1" applyFont="1" applyBorder="1" applyAlignment="1" applyProtection="1">
      <alignment horizontal="center" vertical="center"/>
      <protection locked="0"/>
    </xf>
    <xf numFmtId="3" fontId="4" fillId="0" borderId="28" xfId="2" applyNumberFormat="1" applyFont="1" applyBorder="1" applyAlignment="1" applyProtection="1">
      <alignment horizontal="center" vertic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44" xfId="2" applyNumberFormat="1" applyFont="1" applyBorder="1" applyAlignment="1" applyProtection="1">
      <alignment horizontal="center" vertical="center"/>
      <protection locked="0"/>
    </xf>
    <xf numFmtId="2" fontId="3" fillId="0" borderId="44" xfId="2" applyNumberFormat="1" applyFont="1" applyFill="1" applyBorder="1" applyAlignment="1" applyProtection="1">
      <alignment wrapText="1"/>
      <protection locked="0"/>
    </xf>
    <xf numFmtId="3" fontId="3" fillId="0" borderId="44" xfId="3" applyNumberFormat="1" applyFont="1" applyFill="1" applyBorder="1" applyAlignment="1" applyProtection="1">
      <alignment horizontal="right" vertical="center"/>
      <protection locked="0"/>
    </xf>
    <xf numFmtId="2" fontId="3" fillId="0" borderId="44" xfId="2" applyNumberFormat="1" applyFont="1" applyFill="1" applyBorder="1" applyAlignment="1" applyProtection="1">
      <alignment horizontal="right" vertical="center"/>
      <protection locked="0"/>
    </xf>
    <xf numFmtId="3" fontId="3" fillId="2" borderId="45" xfId="3" applyNumberFormat="1" applyFont="1" applyFill="1" applyBorder="1" applyAlignment="1" applyProtection="1">
      <alignment horizontal="right" vertical="center"/>
      <protection locked="0" hidden="1"/>
    </xf>
    <xf numFmtId="14" fontId="3" fillId="0" borderId="44" xfId="2" applyNumberFormat="1" applyFont="1" applyBorder="1" applyAlignment="1" applyProtection="1">
      <alignment horizontal="center" vertical="center"/>
      <protection locked="0"/>
    </xf>
    <xf numFmtId="3" fontId="3" fillId="0" borderId="44" xfId="1" applyNumberFormat="1" applyFont="1" applyFill="1" applyBorder="1" applyAlignment="1" applyProtection="1">
      <alignment horizontal="right"/>
      <protection locked="0"/>
    </xf>
    <xf numFmtId="2" fontId="3" fillId="0" borderId="44" xfId="2" applyNumberFormat="1" applyFont="1" applyFill="1" applyBorder="1" applyProtection="1">
      <protection locked="0"/>
    </xf>
    <xf numFmtId="0" fontId="3" fillId="0" borderId="12" xfId="2" applyFont="1" applyFill="1" applyBorder="1" applyProtection="1">
      <protection locked="0"/>
    </xf>
    <xf numFmtId="3" fontId="4" fillId="3" borderId="12" xfId="3" applyNumberFormat="1" applyFont="1" applyFill="1" applyBorder="1" applyAlignment="1" applyProtection="1">
      <alignment horizontal="right"/>
      <protection locked="0"/>
    </xf>
    <xf numFmtId="14" fontId="3" fillId="0" borderId="46" xfId="2" applyNumberFormat="1" applyFont="1" applyBorder="1" applyAlignment="1" applyProtection="1">
      <alignment horizontal="center" vertical="center"/>
      <protection locked="0"/>
    </xf>
    <xf numFmtId="3" fontId="3" fillId="0" borderId="35" xfId="1" applyNumberFormat="1" applyFont="1" applyFill="1" applyBorder="1" applyAlignment="1" applyProtection="1">
      <alignment horizontal="right"/>
      <protection locked="0"/>
    </xf>
    <xf numFmtId="2" fontId="3" fillId="0" borderId="35" xfId="2" applyNumberFormat="1" applyFont="1" applyFill="1" applyBorder="1" applyProtection="1">
      <protection locked="0"/>
    </xf>
    <xf numFmtId="2" fontId="3" fillId="0" borderId="35" xfId="2" applyNumberFormat="1" applyFont="1" applyFill="1" applyBorder="1" applyAlignment="1" applyProtection="1">
      <alignment wrapText="1"/>
      <protection locked="0"/>
    </xf>
    <xf numFmtId="3" fontId="3" fillId="0" borderId="35" xfId="3" applyNumberFormat="1" applyFont="1" applyFill="1" applyBorder="1" applyAlignment="1" applyProtection="1">
      <alignment horizontal="right" vertical="center"/>
      <protection locked="0"/>
    </xf>
    <xf numFmtId="2" fontId="3" fillId="0" borderId="35" xfId="2" applyNumberFormat="1" applyFont="1" applyFill="1" applyBorder="1" applyAlignment="1" applyProtection="1">
      <alignment horizontal="right" vertical="center"/>
      <protection locked="0"/>
    </xf>
    <xf numFmtId="3" fontId="3" fillId="2" borderId="47" xfId="3" applyNumberFormat="1" applyFont="1" applyFill="1" applyBorder="1" applyAlignment="1" applyProtection="1">
      <alignment horizontal="right" vertical="center"/>
      <protection locked="0" hidden="1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14" fontId="3" fillId="0" borderId="48" xfId="2" applyNumberFormat="1" applyFont="1" applyBorder="1" applyAlignment="1" applyProtection="1">
      <alignment horizontal="center" vertical="center"/>
      <protection locked="0"/>
    </xf>
    <xf numFmtId="14" fontId="3" fillId="0" borderId="6" xfId="2" applyNumberFormat="1" applyFont="1" applyBorder="1" applyAlignment="1" applyProtection="1">
      <alignment horizontal="center" vertical="center"/>
      <protection locked="0"/>
    </xf>
    <xf numFmtId="14" fontId="3" fillId="0" borderId="9" xfId="2" applyNumberFormat="1" applyFont="1" applyBorder="1" applyAlignment="1" applyProtection="1">
      <alignment horizontal="center" vertical="center"/>
      <protection locked="0"/>
    </xf>
    <xf numFmtId="14" fontId="3" fillId="0" borderId="13" xfId="2" applyNumberFormat="1" applyFont="1" applyBorder="1" applyAlignment="1" applyProtection="1">
      <alignment horizontal="center" vertical="center"/>
      <protection locked="0"/>
    </xf>
    <xf numFmtId="3" fontId="3" fillId="0" borderId="14" xfId="1" applyNumberFormat="1" applyFont="1" applyFill="1" applyBorder="1" applyAlignment="1" applyProtection="1">
      <alignment horizontal="right"/>
      <protection locked="0"/>
    </xf>
    <xf numFmtId="2" fontId="3" fillId="0" borderId="14" xfId="2" applyNumberFormat="1" applyFont="1" applyFill="1" applyBorder="1" applyProtection="1">
      <protection locked="0"/>
    </xf>
    <xf numFmtId="2" fontId="3" fillId="0" borderId="14" xfId="2" applyNumberFormat="1" applyFont="1" applyFill="1" applyBorder="1" applyAlignment="1" applyProtection="1">
      <alignment wrapText="1"/>
      <protection locked="0"/>
    </xf>
    <xf numFmtId="3" fontId="3" fillId="0" borderId="14" xfId="3" applyNumberFormat="1" applyFont="1" applyFill="1" applyBorder="1" applyAlignment="1" applyProtection="1">
      <alignment horizontal="right" vertical="center"/>
      <protection locked="0"/>
    </xf>
    <xf numFmtId="2" fontId="3" fillId="0" borderId="14" xfId="2" applyNumberFormat="1" applyFont="1" applyFill="1" applyBorder="1" applyAlignment="1" applyProtection="1">
      <alignment horizontal="right" vertical="center"/>
      <protection locked="0"/>
    </xf>
    <xf numFmtId="3" fontId="3" fillId="2" borderId="49" xfId="3" applyNumberFormat="1" applyFont="1" applyFill="1" applyBorder="1" applyAlignment="1" applyProtection="1">
      <alignment horizontal="right" vertical="center"/>
      <protection locked="0" hidden="1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3" fillId="0" borderId="16" xfId="1" applyNumberFormat="1" applyFont="1" applyFill="1" applyBorder="1" applyAlignment="1" applyProtection="1">
      <alignment horizontal="right"/>
      <protection locked="0"/>
    </xf>
    <xf numFmtId="2" fontId="3" fillId="0" borderId="16" xfId="2" applyNumberFormat="1" applyFont="1" applyFill="1" applyBorder="1" applyProtection="1">
      <protection locked="0"/>
    </xf>
    <xf numFmtId="2" fontId="3" fillId="0" borderId="16" xfId="2" applyNumberFormat="1" applyFont="1" applyFill="1" applyBorder="1" applyAlignment="1" applyProtection="1">
      <alignment wrapText="1"/>
      <protection locked="0"/>
    </xf>
    <xf numFmtId="3" fontId="3" fillId="0" borderId="16" xfId="3" applyNumberFormat="1" applyFont="1" applyFill="1" applyBorder="1" applyAlignment="1" applyProtection="1">
      <alignment horizontal="right" vertical="center"/>
      <protection locked="0"/>
    </xf>
    <xf numFmtId="2" fontId="3" fillId="0" borderId="16" xfId="2" applyNumberFormat="1" applyFont="1" applyFill="1" applyBorder="1" applyAlignment="1" applyProtection="1">
      <alignment horizontal="right" vertical="center"/>
      <protection locked="0"/>
    </xf>
    <xf numFmtId="3" fontId="3" fillId="2" borderId="17" xfId="3" applyNumberFormat="1" applyFont="1" applyFill="1" applyBorder="1" applyAlignment="1" applyProtection="1">
      <alignment horizontal="right" vertical="center"/>
      <protection locked="0" hidden="1"/>
    </xf>
    <xf numFmtId="14" fontId="3" fillId="0" borderId="50" xfId="2" applyNumberFormat="1" applyFont="1" applyBorder="1" applyAlignment="1" applyProtection="1">
      <alignment horizontal="center" vertical="center"/>
      <protection locked="0"/>
    </xf>
    <xf numFmtId="3" fontId="3" fillId="0" borderId="42" xfId="1" applyNumberFormat="1" applyFont="1" applyFill="1" applyBorder="1" applyAlignment="1" applyProtection="1">
      <alignment horizontal="right"/>
      <protection locked="0"/>
    </xf>
    <xf numFmtId="2" fontId="3" fillId="0" borderId="42" xfId="2" applyNumberFormat="1" applyFont="1" applyFill="1" applyBorder="1" applyAlignment="1" applyProtection="1">
      <alignment wrapText="1"/>
      <protection locked="0"/>
    </xf>
    <xf numFmtId="3" fontId="3" fillId="0" borderId="42" xfId="3" applyNumberFormat="1" applyFont="1" applyFill="1" applyBorder="1" applyAlignment="1" applyProtection="1">
      <alignment horizontal="right" vertical="center"/>
      <protection locked="0"/>
    </xf>
    <xf numFmtId="2" fontId="3" fillId="0" borderId="42" xfId="2" applyNumberFormat="1" applyFont="1" applyFill="1" applyBorder="1" applyAlignment="1" applyProtection="1">
      <alignment horizontal="right" vertical="center"/>
      <protection locked="0"/>
    </xf>
    <xf numFmtId="3" fontId="3" fillId="2" borderId="51" xfId="3" applyNumberFormat="1" applyFont="1" applyFill="1" applyBorder="1" applyAlignment="1" applyProtection="1">
      <alignment horizontal="right" vertical="center"/>
      <protection locked="0" hidden="1"/>
    </xf>
    <xf numFmtId="14" fontId="3" fillId="0" borderId="52" xfId="2" applyNumberFormat="1" applyFont="1" applyBorder="1" applyAlignment="1" applyProtection="1">
      <alignment horizontal="center" vertical="center"/>
      <protection locked="0"/>
    </xf>
    <xf numFmtId="14" fontId="3" fillId="0" borderId="16" xfId="2" applyNumberFormat="1" applyFont="1" applyBorder="1" applyAlignment="1" applyProtection="1">
      <alignment horizontal="center" vertical="center"/>
      <protection locked="0"/>
    </xf>
    <xf numFmtId="14" fontId="3" fillId="0" borderId="53" xfId="2" applyNumberFormat="1" applyFont="1" applyBorder="1" applyAlignment="1" applyProtection="1">
      <alignment horizontal="center" vertical="center"/>
      <protection locked="0"/>
    </xf>
    <xf numFmtId="3" fontId="3" fillId="0" borderId="43" xfId="1" applyNumberFormat="1" applyFont="1" applyFill="1" applyBorder="1" applyAlignment="1" applyProtection="1">
      <alignment horizontal="right"/>
      <protection locked="0"/>
    </xf>
    <xf numFmtId="2" fontId="3" fillId="0" borderId="43" xfId="2" applyNumberFormat="1" applyFont="1" applyFill="1" applyBorder="1" applyProtection="1">
      <protection locked="0"/>
    </xf>
    <xf numFmtId="2" fontId="3" fillId="0" borderId="43" xfId="2" applyNumberFormat="1" applyFont="1" applyFill="1" applyBorder="1" applyAlignment="1" applyProtection="1">
      <alignment wrapText="1"/>
      <protection locked="0"/>
    </xf>
    <xf numFmtId="3" fontId="3" fillId="0" borderId="43" xfId="3" applyNumberFormat="1" applyFont="1" applyFill="1" applyBorder="1" applyAlignment="1" applyProtection="1">
      <alignment horizontal="right" vertical="center"/>
      <protection locked="0"/>
    </xf>
    <xf numFmtId="2" fontId="3" fillId="0" borderId="43" xfId="2" applyNumberFormat="1" applyFont="1" applyFill="1" applyBorder="1" applyAlignment="1" applyProtection="1">
      <alignment horizontal="right" vertical="center"/>
      <protection locked="0"/>
    </xf>
    <xf numFmtId="3" fontId="3" fillId="2" borderId="54" xfId="3" applyNumberFormat="1" applyFont="1" applyFill="1" applyBorder="1" applyAlignment="1" applyProtection="1">
      <alignment horizontal="right" vertical="center"/>
      <protection locked="0" hidden="1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2" fontId="3" fillId="0" borderId="42" xfId="2" applyNumberFormat="1" applyFont="1" applyFill="1" applyBorder="1" applyProtection="1"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4" xfId="2" applyNumberFormat="1" applyFont="1" applyBorder="1" applyAlignment="1" applyProtection="1">
      <alignment horizontal="center" vertical="center"/>
      <protection locked="0"/>
    </xf>
    <xf numFmtId="3" fontId="4" fillId="0" borderId="2" xfId="2" applyNumberFormat="1" applyFont="1" applyBorder="1" applyAlignment="1" applyProtection="1">
      <alignment horizontal="center" vertical="center" wrapText="1"/>
      <protection locked="0"/>
    </xf>
    <xf numFmtId="14" fontId="3" fillId="0" borderId="59" xfId="2" applyNumberFormat="1" applyFont="1" applyBorder="1" applyAlignment="1" applyProtection="1">
      <alignment horizontal="center" vertical="center"/>
      <protection locked="0"/>
    </xf>
    <xf numFmtId="3" fontId="3" fillId="0" borderId="58" xfId="1" applyNumberFormat="1" applyFont="1" applyFill="1" applyBorder="1" applyAlignment="1" applyProtection="1">
      <alignment horizontal="right"/>
      <protection locked="0"/>
    </xf>
    <xf numFmtId="2" fontId="3" fillId="0" borderId="58" xfId="2" applyNumberFormat="1" applyFont="1" applyFill="1" applyBorder="1" applyProtection="1">
      <protection locked="0"/>
    </xf>
    <xf numFmtId="2" fontId="3" fillId="0" borderId="58" xfId="2" applyNumberFormat="1" applyFont="1" applyFill="1" applyBorder="1" applyAlignment="1" applyProtection="1">
      <alignment wrapText="1"/>
      <protection locked="0"/>
    </xf>
    <xf numFmtId="3" fontId="3" fillId="0" borderId="58" xfId="3" applyNumberFormat="1" applyFont="1" applyFill="1" applyBorder="1" applyAlignment="1" applyProtection="1">
      <alignment horizontal="right" vertical="center"/>
      <protection locked="0"/>
    </xf>
    <xf numFmtId="2" fontId="3" fillId="0" borderId="58" xfId="2" applyNumberFormat="1" applyFont="1" applyFill="1" applyBorder="1" applyAlignment="1" applyProtection="1">
      <alignment horizontal="right" vertical="center"/>
      <protection locked="0"/>
    </xf>
    <xf numFmtId="3" fontId="3" fillId="2" borderId="60" xfId="3" applyNumberFormat="1" applyFont="1" applyFill="1" applyBorder="1" applyAlignment="1" applyProtection="1">
      <alignment horizontal="right" vertical="center"/>
      <protection locked="0" hidden="1"/>
    </xf>
    <xf numFmtId="14" fontId="3" fillId="0" borderId="61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43" xfId="2" applyNumberFormat="1" applyFont="1" applyBorder="1" applyAlignment="1" applyProtection="1">
      <alignment horizontal="center" vertic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18" xfId="2" applyNumberFormat="1" applyFont="1" applyBorder="1" applyAlignment="1" applyProtection="1">
      <alignment horizontal="center" vertical="center"/>
      <protection locked="0"/>
    </xf>
    <xf numFmtId="14" fontId="3" fillId="0" borderId="62" xfId="2" applyNumberFormat="1" applyFont="1" applyBorder="1" applyAlignment="1" applyProtection="1">
      <alignment horizontal="center" vertical="center"/>
      <protection locked="0"/>
    </xf>
    <xf numFmtId="14" fontId="3" fillId="0" borderId="63" xfId="2" applyNumberFormat="1" applyFont="1" applyBorder="1" applyAlignment="1" applyProtection="1">
      <alignment horizontal="center" vertical="center"/>
      <protection locked="0"/>
    </xf>
    <xf numFmtId="14" fontId="3" fillId="0" borderId="43" xfId="2" applyNumberFormat="1" applyFont="1" applyBorder="1" applyAlignment="1" applyProtection="1">
      <alignment horizontal="center" vertical="center"/>
      <protection locked="0"/>
    </xf>
    <xf numFmtId="1" fontId="3" fillId="0" borderId="7" xfId="2" applyNumberFormat="1" applyFont="1" applyFill="1" applyBorder="1" applyAlignment="1" applyProtection="1">
      <alignment horizontal="right" vertical="center"/>
      <protection locked="0"/>
    </xf>
    <xf numFmtId="1" fontId="3" fillId="0" borderId="10" xfId="2" applyNumberFormat="1" applyFont="1" applyFill="1" applyBorder="1" applyAlignment="1" applyProtection="1">
      <alignment horizontal="right" vertical="center"/>
      <protection locked="0"/>
    </xf>
    <xf numFmtId="1" fontId="3" fillId="0" borderId="14" xfId="2" applyNumberFormat="1" applyFont="1" applyFill="1" applyBorder="1" applyAlignment="1" applyProtection="1">
      <alignment horizontal="right" vertical="center"/>
      <protection locked="0"/>
    </xf>
    <xf numFmtId="1" fontId="3" fillId="0" borderId="44" xfId="2" applyNumberFormat="1" applyFont="1" applyFill="1" applyBorder="1" applyAlignment="1" applyProtection="1">
      <alignment horizontal="right" vertical="center"/>
      <protection locked="0"/>
    </xf>
    <xf numFmtId="1" fontId="3" fillId="0" borderId="43" xfId="2" applyNumberFormat="1" applyFont="1" applyFill="1" applyBorder="1" applyAlignment="1" applyProtection="1">
      <alignment horizontal="right" vertical="center"/>
      <protection locked="0"/>
    </xf>
    <xf numFmtId="3" fontId="4" fillId="0" borderId="21" xfId="2" applyNumberFormat="1" applyFont="1" applyBorder="1" applyAlignment="1" applyProtection="1">
      <alignment horizontal="center" vertical="center"/>
      <protection locked="0"/>
    </xf>
    <xf numFmtId="14" fontId="3" fillId="0" borderId="21" xfId="2" applyNumberFormat="1" applyFont="1" applyBorder="1" applyAlignment="1" applyProtection="1">
      <alignment horizontal="center" vertical="center"/>
      <protection locked="0"/>
    </xf>
    <xf numFmtId="3" fontId="3" fillId="0" borderId="21" xfId="1" applyNumberFormat="1" applyFont="1" applyFill="1" applyBorder="1" applyAlignment="1" applyProtection="1">
      <alignment horizontal="right"/>
      <protection locked="0"/>
    </xf>
    <xf numFmtId="2" fontId="3" fillId="0" borderId="21" xfId="2" applyNumberFormat="1" applyFont="1" applyFill="1" applyBorder="1" applyProtection="1">
      <protection locked="0"/>
    </xf>
    <xf numFmtId="2" fontId="3" fillId="0" borderId="21" xfId="2" applyNumberFormat="1" applyFont="1" applyFill="1" applyBorder="1" applyAlignment="1" applyProtection="1">
      <alignment wrapText="1"/>
      <protection locked="0"/>
    </xf>
    <xf numFmtId="3" fontId="3" fillId="0" borderId="21" xfId="3" applyNumberFormat="1" applyFont="1" applyFill="1" applyBorder="1" applyAlignment="1" applyProtection="1">
      <alignment horizontal="right" vertical="center"/>
      <protection locked="0"/>
    </xf>
    <xf numFmtId="1" fontId="3" fillId="0" borderId="21" xfId="2" applyNumberFormat="1" applyFont="1" applyFill="1" applyBorder="1" applyAlignment="1" applyProtection="1">
      <alignment horizontal="right" vertical="center"/>
      <protection locked="0"/>
    </xf>
    <xf numFmtId="3" fontId="3" fillId="2" borderId="22" xfId="3" applyNumberFormat="1" applyFont="1" applyFill="1" applyBorder="1" applyAlignment="1" applyProtection="1">
      <alignment horizontal="right" vertical="center"/>
      <protection locked="0" hidden="1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5" xfId="2" applyNumberFormat="1" applyFont="1" applyBorder="1" applyAlignment="1" applyProtection="1">
      <alignment horizontal="center" vertical="center"/>
      <protection locked="0"/>
    </xf>
    <xf numFmtId="3" fontId="4" fillId="0" borderId="18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18" xfId="2" applyNumberFormat="1" applyFont="1" applyBorder="1" applyAlignment="1" applyProtection="1">
      <alignment horizontal="center" vertical="center"/>
      <protection locked="0"/>
    </xf>
    <xf numFmtId="1" fontId="3" fillId="0" borderId="35" xfId="2" applyNumberFormat="1" applyFont="1" applyFill="1" applyBorder="1" applyAlignment="1" applyProtection="1">
      <alignment horizontal="right" vertical="center"/>
      <protection locked="0"/>
    </xf>
    <xf numFmtId="1" fontId="3" fillId="0" borderId="42" xfId="2" applyNumberFormat="1" applyFont="1" applyFill="1" applyBorder="1" applyAlignment="1" applyProtection="1">
      <alignment horizontal="right" vertical="center"/>
      <protection locked="0"/>
    </xf>
    <xf numFmtId="14" fontId="3" fillId="0" borderId="15" xfId="2" applyNumberFormat="1" applyFont="1" applyBorder="1" applyAlignment="1" applyProtection="1">
      <alignment horizontal="center" vertical="center"/>
      <protection locked="0"/>
    </xf>
    <xf numFmtId="1" fontId="3" fillId="0" borderId="16" xfId="2" applyNumberFormat="1" applyFont="1" applyFill="1" applyBorder="1" applyAlignment="1" applyProtection="1">
      <alignment horizontal="right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18" xfId="2" applyNumberFormat="1" applyFont="1" applyBorder="1" applyAlignment="1" applyProtection="1">
      <alignment vertical="center"/>
      <protection locked="0"/>
    </xf>
    <xf numFmtId="1" fontId="3" fillId="4" borderId="10" xfId="2" applyNumberFormat="1" applyFont="1" applyFill="1" applyBorder="1" applyAlignment="1" applyProtection="1">
      <alignment horizontal="right" vertical="center"/>
      <protection locked="0"/>
    </xf>
    <xf numFmtId="1" fontId="3" fillId="0" borderId="58" xfId="2" applyNumberFormat="1" applyFont="1" applyFill="1" applyBorder="1" applyAlignment="1" applyProtection="1">
      <alignment horizontal="right" vertical="center"/>
      <protection locked="0"/>
    </xf>
    <xf numFmtId="42" fontId="1" fillId="0" borderId="0" xfId="5" applyFont="1"/>
    <xf numFmtId="3" fontId="3" fillId="0" borderId="37" xfId="1" applyNumberFormat="1" applyFont="1" applyFill="1" applyBorder="1" applyAlignment="1" applyProtection="1">
      <alignment horizontal="right"/>
      <protection locked="0"/>
    </xf>
    <xf numFmtId="3" fontId="3" fillId="0" borderId="38" xfId="1" applyNumberFormat="1" applyFont="1" applyFill="1" applyBorder="1" applyAlignment="1" applyProtection="1">
      <alignment horizontal="right"/>
      <protection locked="0"/>
    </xf>
    <xf numFmtId="3" fontId="3" fillId="0" borderId="64" xfId="1" applyNumberFormat="1" applyFont="1" applyFill="1" applyBorder="1" applyAlignment="1" applyProtection="1">
      <alignment horizontal="right"/>
      <protection locked="0"/>
    </xf>
    <xf numFmtId="14" fontId="3" fillId="0" borderId="26" xfId="2" applyNumberFormat="1" applyFont="1" applyBorder="1" applyAlignment="1" applyProtection="1">
      <alignment horizontal="center" vertical="center"/>
      <protection locked="0"/>
    </xf>
    <xf numFmtId="14" fontId="3" fillId="0" borderId="30" xfId="2" applyNumberFormat="1" applyFont="1" applyBorder="1" applyAlignment="1" applyProtection="1">
      <alignment horizontal="center" vertical="center"/>
      <protection locked="0"/>
    </xf>
    <xf numFmtId="14" fontId="3" fillId="0" borderId="33" xfId="2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/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18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5" xfId="2" applyNumberFormat="1" applyFont="1" applyBorder="1" applyAlignment="1" applyProtection="1">
      <alignment vertical="center"/>
      <protection locked="0"/>
    </xf>
    <xf numFmtId="3" fontId="3" fillId="0" borderId="8" xfId="3" applyNumberFormat="1" applyFont="1" applyFill="1" applyBorder="1" applyAlignment="1" applyProtection="1">
      <alignment horizontal="right" vertical="center"/>
      <protection locked="0" hidden="1"/>
    </xf>
    <xf numFmtId="3" fontId="3" fillId="0" borderId="11" xfId="3" applyNumberFormat="1" applyFont="1" applyFill="1" applyBorder="1" applyAlignment="1" applyProtection="1">
      <alignment horizontal="right" vertical="center"/>
      <protection locked="0" hidden="1"/>
    </xf>
    <xf numFmtId="3" fontId="3" fillId="0" borderId="49" xfId="3" applyNumberFormat="1" applyFont="1" applyFill="1" applyBorder="1" applyAlignment="1" applyProtection="1">
      <alignment horizontal="right" vertical="center"/>
      <protection locked="0" hidden="1"/>
    </xf>
    <xf numFmtId="3" fontId="3" fillId="0" borderId="47" xfId="3" applyNumberFormat="1" applyFont="1" applyFill="1" applyBorder="1" applyAlignment="1" applyProtection="1">
      <alignment horizontal="right" vertical="center"/>
      <protection locked="0" hidden="1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1" fontId="3" fillId="0" borderId="11" xfId="2" applyNumberFormat="1" applyFont="1" applyFill="1" applyBorder="1" applyAlignment="1" applyProtection="1">
      <alignment horizontal="right" vertical="center"/>
      <protection locked="0"/>
    </xf>
    <xf numFmtId="3" fontId="3" fillId="0" borderId="45" xfId="3" applyNumberFormat="1" applyFont="1" applyFill="1" applyBorder="1" applyAlignment="1" applyProtection="1">
      <alignment horizontal="right" vertical="center"/>
      <protection locked="0" hidden="1"/>
    </xf>
    <xf numFmtId="3" fontId="3" fillId="0" borderId="17" xfId="3" applyNumberFormat="1" applyFont="1" applyFill="1" applyBorder="1" applyAlignment="1" applyProtection="1">
      <alignment horizontal="right" vertical="center"/>
      <protection locked="0" hidden="1"/>
    </xf>
    <xf numFmtId="3" fontId="4" fillId="0" borderId="20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4" xfId="2" applyNumberFormat="1" applyFont="1" applyBorder="1" applyAlignment="1" applyProtection="1">
      <alignment horizontal="center" vertic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14" fontId="3" fillId="0" borderId="7" xfId="2" applyNumberFormat="1" applyFont="1" applyBorder="1" applyAlignment="1" applyProtection="1">
      <alignment horizontal="center" vertical="center"/>
      <protection locked="0"/>
    </xf>
    <xf numFmtId="14" fontId="3" fillId="0" borderId="14" xfId="2" applyNumberFormat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5" xfId="2" applyNumberFormat="1" applyFont="1" applyBorder="1" applyAlignment="1" applyProtection="1">
      <alignment horizontal="center" vertical="center"/>
      <protection locked="0"/>
    </xf>
    <xf numFmtId="1" fontId="3" fillId="0" borderId="8" xfId="2" applyNumberFormat="1" applyFont="1" applyFill="1" applyBorder="1" applyAlignment="1" applyProtection="1">
      <alignment horizontal="right" vertical="center"/>
      <protection locked="0"/>
    </xf>
    <xf numFmtId="1" fontId="3" fillId="0" borderId="49" xfId="2" applyNumberFormat="1" applyFont="1" applyFill="1" applyBorder="1" applyAlignment="1" applyProtection="1">
      <alignment horizontal="right" vertical="center"/>
      <protection locked="0"/>
    </xf>
    <xf numFmtId="3" fontId="4" fillId="0" borderId="12" xfId="2" applyNumberFormat="1" applyFont="1" applyBorder="1" applyAlignment="1" applyProtection="1">
      <alignment horizontal="center" vertical="center" wrapText="1"/>
      <protection locked="0"/>
    </xf>
    <xf numFmtId="3" fontId="4" fillId="0" borderId="4" xfId="2" applyNumberFormat="1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4" xfId="2" applyNumberFormat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3" fillId="0" borderId="54" xfId="3" applyNumberFormat="1" applyFont="1" applyFill="1" applyBorder="1" applyAlignment="1" applyProtection="1">
      <alignment horizontal="right" vertical="center"/>
      <protection locked="0" hidden="1"/>
    </xf>
    <xf numFmtId="1" fontId="3" fillId="0" borderId="60" xfId="2" applyNumberFormat="1" applyFont="1" applyFill="1" applyBorder="1" applyAlignment="1" applyProtection="1">
      <alignment horizontal="right" vertical="center"/>
      <protection locked="0"/>
    </xf>
    <xf numFmtId="3" fontId="3" fillId="0" borderId="11" xfId="3" applyNumberFormat="1" applyFont="1" applyFill="1" applyBorder="1" applyAlignment="1" applyProtection="1">
      <alignment horizontal="right" vertical="center"/>
      <protection locked="0"/>
    </xf>
    <xf numFmtId="3" fontId="3" fillId="0" borderId="49" xfId="3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3" fillId="0" borderId="22" xfId="2" applyFont="1" applyFill="1" applyBorder="1" applyProtection="1">
      <protection locked="0"/>
    </xf>
    <xf numFmtId="0" fontId="4" fillId="0" borderId="31" xfId="2" applyFont="1" applyFill="1" applyBorder="1" applyAlignment="1" applyProtection="1">
      <alignment horizontal="left" vertical="center"/>
      <protection locked="0"/>
    </xf>
    <xf numFmtId="0" fontId="4" fillId="0" borderId="32" xfId="2" applyFont="1" applyFill="1" applyBorder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3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center"/>
      <protection locked="0"/>
    </xf>
    <xf numFmtId="0" fontId="4" fillId="0" borderId="27" xfId="2" applyFont="1" applyBorder="1" applyAlignment="1" applyProtection="1">
      <alignment horizontal="center"/>
      <protection locked="0"/>
    </xf>
    <xf numFmtId="0" fontId="4" fillId="0" borderId="0" xfId="2" applyFont="1" applyBorder="1" applyAlignment="1" applyProtection="1">
      <alignment horizontal="left"/>
      <protection locked="0"/>
    </xf>
    <xf numFmtId="0" fontId="4" fillId="0" borderId="27" xfId="2" applyFont="1" applyBorder="1" applyAlignment="1" applyProtection="1">
      <alignment horizontal="left"/>
      <protection locked="0"/>
    </xf>
    <xf numFmtId="0" fontId="12" fillId="3" borderId="5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23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18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0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19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21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39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3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40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27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41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22" xfId="2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2" applyFont="1" applyFill="1" applyBorder="1" applyAlignment="1" applyProtection="1">
      <alignment horizontal="center" vertical="center"/>
      <protection locked="0"/>
    </xf>
    <xf numFmtId="0" fontId="4" fillId="3" borderId="4" xfId="2" applyFont="1" applyFill="1" applyBorder="1" applyAlignment="1" applyProtection="1">
      <alignment horizontal="center" vertical="center"/>
      <protection locked="0"/>
    </xf>
    <xf numFmtId="0" fontId="4" fillId="3" borderId="12" xfId="2" applyFont="1" applyFill="1" applyBorder="1" applyAlignment="1" applyProtection="1">
      <alignment horizontal="center" vertical="center"/>
      <protection locked="0"/>
    </xf>
    <xf numFmtId="3" fontId="4" fillId="0" borderId="24" xfId="2" applyNumberFormat="1" applyFont="1" applyBorder="1" applyAlignment="1" applyProtection="1">
      <alignment horizontal="left" vertical="center"/>
      <protection locked="0"/>
    </xf>
    <xf numFmtId="3" fontId="4" fillId="0" borderId="25" xfId="2" applyNumberFormat="1" applyFont="1" applyBorder="1" applyAlignment="1" applyProtection="1">
      <alignment horizontal="left" vertical="center"/>
      <protection locked="0"/>
    </xf>
    <xf numFmtId="0" fontId="4" fillId="0" borderId="28" xfId="2" applyFont="1" applyBorder="1" applyAlignment="1" applyProtection="1">
      <alignment horizontal="left" vertical="center"/>
      <protection locked="0"/>
    </xf>
    <xf numFmtId="0" fontId="4" fillId="0" borderId="29" xfId="2" applyFont="1" applyBorder="1" applyAlignment="1" applyProtection="1">
      <alignment horizontal="left" vertical="center"/>
      <protection locked="0"/>
    </xf>
    <xf numFmtId="3" fontId="4" fillId="0" borderId="20" xfId="2" applyNumberFormat="1" applyFont="1" applyBorder="1" applyAlignment="1" applyProtection="1">
      <alignment horizontal="right" vertical="center"/>
      <protection locked="0"/>
    </xf>
    <xf numFmtId="3" fontId="4" fillId="0" borderId="36" xfId="2" applyNumberFormat="1" applyFont="1" applyBorder="1" applyAlignment="1" applyProtection="1">
      <alignment horizontal="right" vertical="center"/>
      <protection locked="0"/>
    </xf>
    <xf numFmtId="168" fontId="11" fillId="0" borderId="36" xfId="0" applyNumberFormat="1" applyFont="1" applyBorder="1" applyAlignment="1" applyProtection="1">
      <alignment horizontal="left" vertical="center"/>
      <protection locked="0"/>
    </xf>
    <xf numFmtId="168" fontId="11" fillId="0" borderId="34" xfId="0" applyNumberFormat="1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left" vertical="center"/>
      <protection locked="0"/>
    </xf>
    <xf numFmtId="0" fontId="9" fillId="0" borderId="36" xfId="0" applyFont="1" applyBorder="1" applyAlignment="1" applyProtection="1">
      <alignment horizontal="left" vertical="center"/>
      <protection locked="0"/>
    </xf>
    <xf numFmtId="0" fontId="9" fillId="0" borderId="34" xfId="0" applyFont="1" applyBorder="1" applyAlignment="1" applyProtection="1">
      <alignment horizontal="left" vertical="center"/>
      <protection locked="0"/>
    </xf>
    <xf numFmtId="3" fontId="4" fillId="0" borderId="18" xfId="2" applyNumberFormat="1" applyFont="1" applyBorder="1" applyAlignment="1" applyProtection="1">
      <alignment horizontal="center" vertical="center"/>
      <protection locked="0"/>
    </xf>
    <xf numFmtId="16" fontId="3" fillId="3" borderId="20" xfId="2" applyNumberFormat="1" applyFont="1" applyFill="1" applyBorder="1" applyAlignment="1" applyProtection="1">
      <alignment horizontal="center"/>
      <protection locked="0"/>
    </xf>
    <xf numFmtId="0" fontId="3" fillId="3" borderId="36" xfId="2" applyNumberFormat="1" applyFont="1" applyFill="1" applyBorder="1" applyAlignment="1" applyProtection="1">
      <alignment horizontal="center"/>
      <protection locked="0"/>
    </xf>
    <xf numFmtId="0" fontId="3" fillId="3" borderId="21" xfId="2" applyNumberFormat="1" applyFont="1" applyFill="1" applyBorder="1" applyAlignment="1" applyProtection="1">
      <alignment horizontal="center"/>
      <protection locked="0"/>
    </xf>
    <xf numFmtId="0" fontId="3" fillId="3" borderId="22" xfId="2" applyNumberFormat="1" applyFont="1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16" fontId="3" fillId="3" borderId="19" xfId="2" applyNumberFormat="1" applyFont="1" applyFill="1" applyBorder="1" applyAlignment="1" applyProtection="1">
      <alignment horizontal="center"/>
      <protection locked="0"/>
    </xf>
    <xf numFmtId="3" fontId="4" fillId="0" borderId="42" xfId="2" applyNumberFormat="1" applyFont="1" applyBorder="1" applyAlignment="1" applyProtection="1">
      <alignment horizontal="center" vertical="center"/>
      <protection locked="0"/>
    </xf>
    <xf numFmtId="3" fontId="4" fillId="0" borderId="43" xfId="2" applyNumberFormat="1" applyFont="1" applyBorder="1" applyAlignment="1" applyProtection="1">
      <alignment horizontal="center" vertical="center"/>
      <protection locked="0"/>
    </xf>
    <xf numFmtId="3" fontId="4" fillId="0" borderId="16" xfId="2" applyNumberFormat="1" applyFont="1" applyBorder="1" applyAlignment="1" applyProtection="1">
      <alignment horizontal="center" vertical="center"/>
      <protection locked="0"/>
    </xf>
    <xf numFmtId="3" fontId="4" fillId="0" borderId="44" xfId="2" applyNumberFormat="1" applyFont="1" applyBorder="1" applyAlignment="1" applyProtection="1">
      <alignment horizontal="center" vertical="center"/>
      <protection locked="0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3" fontId="4" fillId="0" borderId="4" xfId="2" applyNumberFormat="1" applyFont="1" applyBorder="1" applyAlignment="1" applyProtection="1">
      <alignment horizontal="center" vertical="center"/>
      <protection locked="0"/>
    </xf>
    <xf numFmtId="0" fontId="3" fillId="3" borderId="19" xfId="2" applyNumberFormat="1" applyFont="1" applyFill="1" applyBorder="1" applyAlignment="1" applyProtection="1">
      <alignment horizontal="center"/>
      <protection locked="0"/>
    </xf>
    <xf numFmtId="3" fontId="4" fillId="0" borderId="5" xfId="2" applyNumberFormat="1" applyFont="1" applyBorder="1" applyAlignment="1" applyProtection="1">
      <alignment horizontal="center" vertical="center" wrapText="1"/>
      <protection locked="0"/>
    </xf>
    <xf numFmtId="3" fontId="4" fillId="0" borderId="18" xfId="2" applyNumberFormat="1" applyFont="1" applyBorder="1" applyAlignment="1" applyProtection="1">
      <alignment horizontal="center" vertical="center" wrapText="1"/>
      <protection locked="0"/>
    </xf>
    <xf numFmtId="3" fontId="4" fillId="0" borderId="19" xfId="2" applyNumberFormat="1" applyFont="1" applyBorder="1" applyAlignment="1" applyProtection="1">
      <alignment horizontal="center" vertical="center" wrapText="1"/>
      <protection locked="0"/>
    </xf>
    <xf numFmtId="3" fontId="4" fillId="0" borderId="12" xfId="2" applyNumberFormat="1" applyFont="1" applyBorder="1" applyAlignment="1" applyProtection="1">
      <alignment horizontal="center" vertical="center"/>
      <protection locked="0"/>
    </xf>
    <xf numFmtId="3" fontId="4" fillId="0" borderId="5" xfId="2" applyNumberFormat="1" applyFont="1" applyBorder="1" applyAlignment="1" applyProtection="1">
      <alignment horizontal="center" vertical="center"/>
      <protection locked="0"/>
    </xf>
    <xf numFmtId="3" fontId="4" fillId="0" borderId="19" xfId="2" applyNumberFormat="1" applyFont="1" applyBorder="1" applyAlignment="1" applyProtection="1">
      <alignment horizontal="center" vertical="center"/>
      <protection locked="0"/>
    </xf>
    <xf numFmtId="3" fontId="4" fillId="0" borderId="55" xfId="2" applyNumberFormat="1" applyFont="1" applyBorder="1" applyAlignment="1" applyProtection="1">
      <alignment horizontal="center" vertical="center"/>
      <protection locked="0"/>
    </xf>
    <xf numFmtId="3" fontId="4" fillId="0" borderId="56" xfId="2" applyNumberFormat="1" applyFont="1" applyBorder="1" applyAlignment="1" applyProtection="1">
      <alignment horizontal="center" vertical="center"/>
      <protection locked="0"/>
    </xf>
    <xf numFmtId="3" fontId="4" fillId="0" borderId="57" xfId="2" applyNumberFormat="1" applyFont="1" applyBorder="1" applyAlignment="1" applyProtection="1">
      <alignment horizontal="center" vertical="center"/>
      <protection locked="0"/>
    </xf>
    <xf numFmtId="0" fontId="3" fillId="3" borderId="34" xfId="2" applyNumberFormat="1" applyFont="1" applyFill="1" applyBorder="1" applyAlignment="1" applyProtection="1">
      <alignment horizontal="center"/>
      <protection locked="0"/>
    </xf>
    <xf numFmtId="3" fontId="4" fillId="0" borderId="1" xfId="2" applyNumberFormat="1" applyFont="1" applyBorder="1" applyAlignment="1" applyProtection="1">
      <alignment horizontal="center" vertical="center" wrapText="1"/>
      <protection locked="0"/>
    </xf>
    <xf numFmtId="3" fontId="4" fillId="0" borderId="4" xfId="2" applyNumberFormat="1" applyFont="1" applyBorder="1" applyAlignment="1" applyProtection="1">
      <alignment horizontal="center" vertical="center" wrapText="1"/>
      <protection locked="0"/>
    </xf>
    <xf numFmtId="3" fontId="4" fillId="0" borderId="12" xfId="2" applyNumberFormat="1" applyFont="1" applyBorder="1" applyAlignment="1" applyProtection="1">
      <alignment horizontal="center" vertical="center" wrapText="1"/>
      <protection locked="0"/>
    </xf>
    <xf numFmtId="16" fontId="3" fillId="3" borderId="70" xfId="2" applyNumberFormat="1" applyFont="1" applyFill="1" applyBorder="1" applyAlignment="1" applyProtection="1">
      <alignment horizontal="center"/>
      <protection locked="0"/>
    </xf>
    <xf numFmtId="16" fontId="3" fillId="3" borderId="29" xfId="2" applyNumberFormat="1" applyFont="1" applyFill="1" applyBorder="1" applyAlignment="1" applyProtection="1">
      <alignment horizontal="center"/>
      <protection locked="0"/>
    </xf>
    <xf numFmtId="16" fontId="3" fillId="3" borderId="38" xfId="2" applyNumberFormat="1" applyFont="1" applyFill="1" applyBorder="1" applyAlignment="1" applyProtection="1">
      <alignment horizontal="center"/>
      <protection locked="0"/>
    </xf>
    <xf numFmtId="0" fontId="12" fillId="3" borderId="65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66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67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68" xfId="2" applyNumberFormat="1" applyFont="1" applyFill="1" applyBorder="1" applyAlignment="1" applyProtection="1">
      <alignment horizontal="right" vertical="center" wrapText="1"/>
      <protection locked="0"/>
    </xf>
    <xf numFmtId="0" fontId="12" fillId="3" borderId="69" xfId="2" applyNumberFormat="1" applyFont="1" applyFill="1" applyBorder="1" applyAlignment="1" applyProtection="1">
      <alignment horizontal="right" vertical="center" wrapText="1"/>
      <protection locked="0"/>
    </xf>
  </cellXfs>
  <cellStyles count="6">
    <cellStyle name="Millares" xfId="1" builtinId="3"/>
    <cellStyle name="Millares 2 3" xfId="3"/>
    <cellStyle name="Millares_Hoja1 2" xfId="4"/>
    <cellStyle name="Moneda [0]" xfId="5" builtinId="7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 fmlaLink="$K$14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Radio" checked="Checked" firstButton="1" fmlaLink="$K$14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Radio" checked="Checked" firstButton="1" fmlaLink="$K$14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Radio" firstButton="1" fmlaLink="$K$14" lockText="1" noThreeD="1"/>
</file>

<file path=xl/ctrlProps/ctrlProp14.xml><?xml version="1.0" encoding="utf-8"?>
<formControlPr xmlns="http://schemas.microsoft.com/office/spreadsheetml/2009/9/main" objectType="Radio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Radio" checked="Checked" firstButton="1" fmlaLink="$K$14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Radio" firstButton="1" fmlaLink="#REF!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Radio" checked="Checked" firstButton="1" fmlaLink="$K$14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Radio" checked="Checked" firstButton="1" fmlaLink="$K$14" lockText="1" noThreeD="1"/>
</file>

<file path=xl/ctrlProps/ctrlProp30.xml><?xml version="1.0" encoding="utf-8"?>
<formControlPr xmlns="http://schemas.microsoft.com/office/spreadsheetml/2009/9/main" objectType="Radio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Radio" checked="Checked" firstButton="1" fmlaLink="$K$14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Radio" checked="Checked" firstButton="1" fmlaLink="$K$14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Radio" checked="Checked" firstButton="1" fmlaLink="$K$14" lockText="1" noThreeD="1"/>
</file>

<file path=xl/ctrlProps/ctrlProp42.xml><?xml version="1.0" encoding="utf-8"?>
<formControlPr xmlns="http://schemas.microsoft.com/office/spreadsheetml/2009/9/main" objectType="Radio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Radio" checked="Checked" firstButton="1" fmlaLink="$K$14" lockText="1" noThreeD="1"/>
</file>

<file path=xl/ctrlProps/ctrlProp46.xml><?xml version="1.0" encoding="utf-8"?>
<formControlPr xmlns="http://schemas.microsoft.com/office/spreadsheetml/2009/9/main" objectType="Radio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Radio" checked="Checked" firstButton="1" fmlaLink="$K$14" lockText="1" noThreeD="1"/>
</file>

<file path=xl/ctrlProps/ctrlProp50.xml><?xml version="1.0" encoding="utf-8"?>
<formControlPr xmlns="http://schemas.microsoft.com/office/spreadsheetml/2009/9/main" objectType="Radio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Radio" checked="Checked" firstButton="1" fmlaLink="$K$14" lockText="1" noThreeD="1"/>
</file>

<file path=xl/ctrlProps/ctrlProp54.xml><?xml version="1.0" encoding="utf-8"?>
<formControlPr xmlns="http://schemas.microsoft.com/office/spreadsheetml/2009/9/main" objectType="Radio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Radio" checked="Checked" firstButton="1" fmlaLink="$K$14" lockText="1" noThreeD="1"/>
</file>

<file path=xl/ctrlProps/ctrlProp58.xml><?xml version="1.0" encoding="utf-8"?>
<formControlPr xmlns="http://schemas.microsoft.com/office/spreadsheetml/2009/9/main" objectType="Radio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Radio" checked="Checked" firstButton="1" fmlaLink="$K$14" lockText="1" noThreeD="1"/>
</file>

<file path=xl/ctrlProps/ctrlProp62.xml><?xml version="1.0" encoding="utf-8"?>
<formControlPr xmlns="http://schemas.microsoft.com/office/spreadsheetml/2009/9/main" objectType="Radio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Radio" checked="Checked" firstButton="1" fmlaLink="$K$14" lockText="1" noThreeD="1"/>
</file>

<file path=xl/ctrlProps/ctrlProp66.xml><?xml version="1.0" encoding="utf-8"?>
<formControlPr xmlns="http://schemas.microsoft.com/office/spreadsheetml/2009/9/main" objectType="Radio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Radio" checked="Checked" firstButton="1" fmlaLink="$K$14" lockText="1" noThreeD="1"/>
</file>

<file path=xl/ctrlProps/ctrlProp70.xml><?xml version="1.0" encoding="utf-8"?>
<formControlPr xmlns="http://schemas.microsoft.com/office/spreadsheetml/2009/9/main" objectType="Radio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Radio" checked="Checked" firstButton="1" fmlaLink="$K$14" lockText="1" noThreeD="1"/>
</file>

<file path=xl/ctrlProps/ctrlProp74.xml><?xml version="1.0" encoding="utf-8"?>
<formControlPr xmlns="http://schemas.microsoft.com/office/spreadsheetml/2009/9/main" objectType="Radio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Radio" checked="Checked" firstButton="1" fmlaLink="$K$14" lockText="1" noThreeD="1"/>
</file>

<file path=xl/ctrlProps/ctrlProp78.xml><?xml version="1.0" encoding="utf-8"?>
<formControlPr xmlns="http://schemas.microsoft.com/office/spreadsheetml/2009/9/main" objectType="Radio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Radio" checked="Checked" firstButton="1" fmlaLink="$K$14" lockText="1" noThreeD="1"/>
</file>

<file path=xl/ctrlProps/ctrlProp82.xml><?xml version="1.0" encoding="utf-8"?>
<formControlPr xmlns="http://schemas.microsoft.com/office/spreadsheetml/2009/9/main" objectType="Radio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Radio" checked="Checked" firstButton="1" fmlaLink="$K$14" lockText="1" noThreeD="1"/>
</file>

<file path=xl/ctrlProps/ctrlProp86.xml><?xml version="1.0" encoding="utf-8"?>
<formControlPr xmlns="http://schemas.microsoft.com/office/spreadsheetml/2009/9/main" objectType="Radio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Radio" checked="Checked" firstButton="1" fmlaLink="$K$14" lockText="1" noThreeD="1"/>
</file>

<file path=xl/ctrlProps/ctrlProp90.xml><?xml version="1.0" encoding="utf-8"?>
<formControlPr xmlns="http://schemas.microsoft.com/office/spreadsheetml/2009/9/main" objectType="Radio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Radio" firstButton="1" fmlaLink="$K$14" lockText="1" noThreeD="1"/>
</file>

<file path=xl/ctrlProps/ctrlProp94.xml><?xml version="1.0" encoding="utf-8"?>
<formControlPr xmlns="http://schemas.microsoft.com/office/spreadsheetml/2009/9/main" objectType="Radio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Radio" firstButton="1" fmlaLink="#REF!" lockText="1" noThreeD="1"/>
</file>

<file path=xl/ctrlProps/ctrlProp98.xml><?xml version="1.0" encoding="utf-8"?>
<formControlPr xmlns="http://schemas.microsoft.com/office/spreadsheetml/2009/9/main" objectType="Radio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Radio" lockText="1" noThreeD="1"/>
</file>

<file path=xl/ctrlProps/ctrlProp10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22529" name="Option Button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22530" name="Option Button 2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1733550" y="1085851"/>
          <a:ext cx="257175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035" name="Option Butto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3073" name="Option 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4097" name="Option 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4098" name="Option Button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5121" name="Option Butto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5122" name="Option Butto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6145" name="Option Butto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6146" name="Option Butto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8193" name="Option Button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8194" name="Option Button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9217" name="Option 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9218" name="Option 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0241" name="Option Button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0242" name="Option Button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1265" name="Option Button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1266" name="Option Button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3313" name="Option Button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3314" name="Option Button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2289" name="Option 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2290" name="Option Button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5361" name="Option Button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5362" name="Option Button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6385" name="Option Button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6386" name="Option Button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7409" name="Option Button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7410" name="Option Button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8433" name="Option Button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8434" name="Option Button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19457" name="Option Button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19458" name="Option Button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20481" name="Option Button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20482" name="Option Button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21505" name="Option Button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21506" name="Option Button 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44033" name="Option Button 1" hidden="1">
              <a:extLst>
                <a:ext uri="{63B3BB69-23CF-44E3-9099-C40C66FF867C}">
                  <a14:compatExt spid="_x0000_s44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44034" name="Option Button 2" hidden="1">
              <a:extLst>
                <a:ext uri="{63B3BB69-23CF-44E3-9099-C40C66FF867C}">
                  <a14:compatExt spid="_x0000_s44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44035" name="Check Box 3" hidden="1">
              <a:extLst>
                <a:ext uri="{63B3BB69-23CF-44E3-9099-C40C66FF867C}">
                  <a14:compatExt spid="_x0000_s44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44036" name="Check Box 4" hidden="1">
              <a:extLst>
                <a:ext uri="{63B3BB69-23CF-44E3-9099-C40C66FF867C}">
                  <a14:compatExt spid="_x0000_s44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46081" name="Option Button 1" hidden="1">
              <a:extLst>
                <a:ext uri="{63B3BB69-23CF-44E3-9099-C40C66FF867C}">
                  <a14:compatExt spid="_x0000_s46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46082" name="Option Button 2" hidden="1">
              <a:extLst>
                <a:ext uri="{63B3BB69-23CF-44E3-9099-C40C66FF867C}">
                  <a14:compatExt spid="_x0000_s46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46083" name="Check Box 3" hidden="1">
              <a:extLst>
                <a:ext uri="{63B3BB69-23CF-44E3-9099-C40C66FF867C}">
                  <a14:compatExt spid="_x0000_s46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46084" name="Check Box 4" hidden="1">
              <a:extLst>
                <a:ext uri="{63B3BB69-23CF-44E3-9099-C40C66FF867C}">
                  <a14:compatExt spid="_x0000_s46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47105" name="Option Button 1" hidden="1">
              <a:extLst>
                <a:ext uri="{63B3BB69-23CF-44E3-9099-C40C66FF867C}">
                  <a14:compatExt spid="_x0000_s47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47106" name="Option Button 2" hidden="1">
              <a:extLst>
                <a:ext uri="{63B3BB69-23CF-44E3-9099-C40C66FF867C}">
                  <a14:compatExt spid="_x0000_s47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47107" name="Check Box 3" hidden="1">
              <a:extLst>
                <a:ext uri="{63B3BB69-23CF-44E3-9099-C40C66FF867C}">
                  <a14:compatExt spid="_x0000_s47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47108" name="Check Box 4" hidden="1">
              <a:extLst>
                <a:ext uri="{63B3BB69-23CF-44E3-9099-C40C66FF867C}">
                  <a14:compatExt spid="_x0000_s47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48129" name="Option Button 1" hidden="1">
              <a:extLst>
                <a:ext uri="{63B3BB69-23CF-44E3-9099-C40C66FF867C}">
                  <a14:compatExt spid="_x0000_s48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48130" name="Option Button 2" hidden="1">
              <a:extLst>
                <a:ext uri="{63B3BB69-23CF-44E3-9099-C40C66FF867C}">
                  <a14:compatExt spid="_x0000_s48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48131" name="Check Box 3" hidden="1">
              <a:extLst>
                <a:ext uri="{63B3BB69-23CF-44E3-9099-C40C66FF867C}">
                  <a14:compatExt spid="_x0000_s48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48132" name="Check Box 4" hidden="1">
              <a:extLst>
                <a:ext uri="{63B3BB69-23CF-44E3-9099-C40C66FF867C}">
                  <a14:compatExt spid="_x0000_s48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1438275</xdr:colOff>
      <xdr:row>7</xdr:row>
      <xdr:rowOff>19051</xdr:rowOff>
    </xdr:from>
    <xdr:to>
      <xdr:col>0</xdr:col>
      <xdr:colOff>1695450</xdr:colOff>
      <xdr:row>8</xdr:row>
      <xdr:rowOff>47626</xdr:rowOff>
    </xdr:to>
    <xdr:sp macro="" textlink="">
      <xdr:nvSpPr>
        <xdr:cNvPr id="2" name="Rectángulo 1"/>
        <xdr:cNvSpPr/>
      </xdr:nvSpPr>
      <xdr:spPr>
        <a:xfrm>
          <a:off x="295275" y="1133476"/>
          <a:ext cx="0" cy="342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7</xdr:row>
          <xdr:rowOff>298450</xdr:rowOff>
        </xdr:from>
        <xdr:to>
          <xdr:col>6</xdr:col>
          <xdr:colOff>1289050</xdr:colOff>
          <xdr:row>8</xdr:row>
          <xdr:rowOff>190500</xdr:rowOff>
        </xdr:to>
        <xdr:sp macro="" textlink="">
          <xdr:nvSpPr>
            <xdr:cNvPr id="49153" name="Option Button 1" hidden="1">
              <a:extLst>
                <a:ext uri="{63B3BB69-23CF-44E3-9099-C40C66FF867C}">
                  <a14:compatExt spid="_x0000_s49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8</xdr:row>
          <xdr:rowOff>152400</xdr:rowOff>
        </xdr:from>
        <xdr:to>
          <xdr:col>6</xdr:col>
          <xdr:colOff>1308100</xdr:colOff>
          <xdr:row>9</xdr:row>
          <xdr:rowOff>12700</xdr:rowOff>
        </xdr:to>
        <xdr:sp macro="" textlink="">
          <xdr:nvSpPr>
            <xdr:cNvPr id="49154" name="Option Button 2" hidden="1">
              <a:extLst>
                <a:ext uri="{63B3BB69-23CF-44E3-9099-C40C66FF867C}">
                  <a14:compatExt spid="_x0000_s49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7</xdr:row>
          <xdr:rowOff>50800</xdr:rowOff>
        </xdr:from>
        <xdr:to>
          <xdr:col>3</xdr:col>
          <xdr:colOff>1085850</xdr:colOff>
          <xdr:row>7</xdr:row>
          <xdr:rowOff>260350</xdr:rowOff>
        </xdr:to>
        <xdr:sp macro="" textlink="">
          <xdr:nvSpPr>
            <xdr:cNvPr id="49155" name="Check Box 3" hidden="1">
              <a:extLst>
                <a:ext uri="{63B3BB69-23CF-44E3-9099-C40C66FF867C}">
                  <a14:compatExt spid="_x0000_s49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857250</xdr:colOff>
          <xdr:row>7</xdr:row>
          <xdr:rowOff>50800</xdr:rowOff>
        </xdr:from>
        <xdr:to>
          <xdr:col>5</xdr:col>
          <xdr:colOff>1079500</xdr:colOff>
          <xdr:row>7</xdr:row>
          <xdr:rowOff>260350</xdr:rowOff>
        </xdr:to>
        <xdr:sp macro="" textlink="">
          <xdr:nvSpPr>
            <xdr:cNvPr id="49156" name="Check Box 4" hidden="1">
              <a:extLst>
                <a:ext uri="{63B3BB69-23CF-44E3-9099-C40C66FF867C}">
                  <a14:compatExt spid="_x0000_s49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0</xdr:row>
      <xdr:rowOff>38100</xdr:rowOff>
    </xdr:from>
    <xdr:to>
      <xdr:col>1</xdr:col>
      <xdr:colOff>1749982</xdr:colOff>
      <xdr:row>5</xdr:row>
      <xdr:rowOff>114300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8100"/>
          <a:ext cx="1902382" cy="838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9</xdr:row>
          <xdr:rowOff>152400</xdr:rowOff>
        </xdr:from>
        <xdr:to>
          <xdr:col>6</xdr:col>
          <xdr:colOff>1308100</xdr:colOff>
          <xdr:row>10</xdr:row>
          <xdr:rowOff>184150</xdr:rowOff>
        </xdr:to>
        <xdr:sp macro="" textlink="">
          <xdr:nvSpPr>
            <xdr:cNvPr id="49157" name="Option Button 5" hidden="1">
              <a:extLst>
                <a:ext uri="{63B3BB69-23CF-44E3-9099-C40C66FF867C}">
                  <a14:compatExt spid="_x0000_s49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10</xdr:row>
          <xdr:rowOff>152400</xdr:rowOff>
        </xdr:from>
        <xdr:to>
          <xdr:col>6</xdr:col>
          <xdr:colOff>1308100</xdr:colOff>
          <xdr:row>11</xdr:row>
          <xdr:rowOff>184150</xdr:rowOff>
        </xdr:to>
        <xdr:sp macro="" textlink="">
          <xdr:nvSpPr>
            <xdr:cNvPr id="49158" name="Option Button 6" hidden="1">
              <a:extLst>
                <a:ext uri="{63B3BB69-23CF-44E3-9099-C40C66FF867C}">
                  <a14:compatExt spid="_x0000_s49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islleth.nisperuza/Desktop/TESORERIA%202019/VARIOS%20USO%20DIARIO/RELACIONES%20DE%20CAJA%20MENOR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-01-2017"/>
      <sheetName val="23-01-2017"/>
      <sheetName val="30-01-2017 "/>
      <sheetName val="06-02-2017"/>
      <sheetName val="13-02-2017"/>
      <sheetName val="20-02-2017"/>
      <sheetName val="27-02-2017"/>
      <sheetName val="06-03-2017"/>
      <sheetName val="13-03-2017"/>
      <sheetName val="21-03-2017"/>
      <sheetName val="27-03-217"/>
      <sheetName val="03-04-2017"/>
      <sheetName val="10-04-2017"/>
      <sheetName val="17-04-2017"/>
      <sheetName val="24-04-2017"/>
      <sheetName val="28-04-2017"/>
      <sheetName val="08-05-2017 "/>
      <sheetName val="Hoja2"/>
      <sheetName val="15-05-2017"/>
      <sheetName val="22-05-2017"/>
      <sheetName val="30-05-2017"/>
      <sheetName val="06-06-2017 "/>
      <sheetName val="12-06-2017  "/>
      <sheetName val="Hoja1"/>
      <sheetName val="20-06-2017"/>
      <sheetName val="27-06-2017"/>
      <sheetName val="04-07-2017 "/>
      <sheetName val="10-07-2017  "/>
      <sheetName val="17-07-2017  "/>
      <sheetName val="24-07-2017   "/>
      <sheetName val="31-07-2017  "/>
      <sheetName val="Hoja4"/>
      <sheetName val="15-08-2017  "/>
      <sheetName val="RELACION PLATA X "/>
      <sheetName val="24-08-2017"/>
      <sheetName val="04-09-2017 (2)"/>
      <sheetName val="11-09-2017 "/>
      <sheetName val="18-09-2017  "/>
      <sheetName val="25-09-2017 "/>
      <sheetName val="03-10-2017 "/>
      <sheetName val="09-10-2017  "/>
      <sheetName val="17-10-2017  "/>
      <sheetName val="23-10-2017 "/>
      <sheetName val="30-10-2017"/>
      <sheetName val="07-11-2017"/>
      <sheetName val="14-11-2017"/>
      <sheetName val="TERCEROS"/>
      <sheetName val="20-11-2017 "/>
      <sheetName val="24-11-2017"/>
      <sheetName val="12-12-2017"/>
      <sheetName val="18-12-2017"/>
      <sheetName val="21-12-2017 "/>
      <sheetName val="02-05-2017 "/>
      <sheetName val="02-19-2017 "/>
      <sheetName val="02-26-2018"/>
      <sheetName val="03-05-2018"/>
      <sheetName val="03-12-2018 "/>
      <sheetName val="03-20-2018"/>
      <sheetName val="03-26-2018"/>
      <sheetName val="04-23-2018"/>
      <sheetName val="04-30-2018"/>
      <sheetName val="05-07-2018"/>
      <sheetName val="05-15-2018 "/>
      <sheetName val="05-21-2018 "/>
      <sheetName val="05-28-2018 "/>
      <sheetName val="06-05-2018  "/>
      <sheetName val="12-05-2018"/>
      <sheetName val="18-05-2018"/>
      <sheetName val="25-05-2018"/>
      <sheetName val="02-07-2018"/>
      <sheetName val="09-07-2018"/>
      <sheetName val="16-07-2018"/>
      <sheetName val="23-07-2018"/>
      <sheetName val="30-07-2018"/>
      <sheetName val="06-08-2018 "/>
      <sheetName val="13-08-2018  "/>
      <sheetName val="21-08-2018  "/>
      <sheetName val="Hoja5"/>
      <sheetName val="21-08-2018   (2)"/>
      <sheetName val="13-08-2018 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2">
          <cell r="A2">
            <v>10545</v>
          </cell>
          <cell r="B2" t="str">
            <v>CO</v>
          </cell>
          <cell r="C2" t="str">
            <v>PATIÑO ISAZA HERNANDO</v>
          </cell>
        </row>
        <row r="3">
          <cell r="A3">
            <v>172307</v>
          </cell>
          <cell r="B3" t="str">
            <v>CO</v>
          </cell>
          <cell r="C3" t="str">
            <v>OTERO PALACIO OSCAR</v>
          </cell>
        </row>
        <row r="4">
          <cell r="A4">
            <v>246770</v>
          </cell>
          <cell r="B4" t="str">
            <v>CO</v>
          </cell>
          <cell r="C4" t="str">
            <v>KIM MICHEL</v>
          </cell>
        </row>
        <row r="5">
          <cell r="A5">
            <v>346402</v>
          </cell>
          <cell r="B5" t="str">
            <v>CO</v>
          </cell>
          <cell r="C5" t="str">
            <v>MONTAÑEZ ESPINO SAUL</v>
          </cell>
        </row>
        <row r="6">
          <cell r="A6">
            <v>375969</v>
          </cell>
          <cell r="B6" t="str">
            <v>CO</v>
          </cell>
          <cell r="C6" t="str">
            <v>JOSE DEL CARMEN LAURETINO</v>
          </cell>
        </row>
        <row r="7">
          <cell r="A7">
            <v>386502</v>
          </cell>
          <cell r="B7" t="str">
            <v>CO</v>
          </cell>
          <cell r="C7" t="str">
            <v>ROMAN DE JESUS AGUILAR DIAZ</v>
          </cell>
        </row>
        <row r="8">
          <cell r="A8">
            <v>396867</v>
          </cell>
          <cell r="B8" t="str">
            <v>CO</v>
          </cell>
          <cell r="C8" t="str">
            <v>ALEJANDRO AIKEN TORRES ARROYO</v>
          </cell>
        </row>
        <row r="9">
          <cell r="A9">
            <v>399700</v>
          </cell>
          <cell r="B9" t="str">
            <v>VE</v>
          </cell>
          <cell r="C9" t="str">
            <v>ZAMBRANO CASTILLO ALEXANDER</v>
          </cell>
        </row>
        <row r="10">
          <cell r="A10">
            <v>400134</v>
          </cell>
          <cell r="B10" t="str">
            <v>CO</v>
          </cell>
          <cell r="C10" t="str">
            <v>HUGO ALONSO VALDERRAMA QUINTERO</v>
          </cell>
        </row>
        <row r="11">
          <cell r="A11">
            <v>401603</v>
          </cell>
          <cell r="B11" t="str">
            <v>CO</v>
          </cell>
          <cell r="C11" t="str">
            <v>MARIO ALBERTO RONDON HURTADO</v>
          </cell>
        </row>
        <row r="12">
          <cell r="A12">
            <v>401634</v>
          </cell>
          <cell r="B12" t="str">
            <v>CO</v>
          </cell>
          <cell r="C12" t="str">
            <v>MARIO ALBERTO RONDON HURTADO</v>
          </cell>
        </row>
        <row r="13">
          <cell r="A13">
            <v>402929</v>
          </cell>
          <cell r="B13" t="str">
            <v>CO</v>
          </cell>
          <cell r="C13" t="str">
            <v>ALI JOSE LASTRA RIVERO</v>
          </cell>
        </row>
        <row r="14">
          <cell r="A14">
            <v>412670</v>
          </cell>
          <cell r="B14" t="str">
            <v>CO</v>
          </cell>
          <cell r="C14" t="str">
            <v>JOSUE DAVID BRAVO AÑEZ</v>
          </cell>
        </row>
        <row r="15">
          <cell r="A15">
            <v>413608</v>
          </cell>
          <cell r="B15" t="str">
            <v>CO</v>
          </cell>
          <cell r="C15" t="str">
            <v>SEO JIHYUN</v>
          </cell>
        </row>
        <row r="16">
          <cell r="A16">
            <v>437715</v>
          </cell>
          <cell r="B16" t="str">
            <v>CO</v>
          </cell>
          <cell r="C16" t="str">
            <v>OSPINA LUIS ALBERTO</v>
          </cell>
        </row>
        <row r="17">
          <cell r="A17">
            <v>471386</v>
          </cell>
          <cell r="B17" t="str">
            <v>CO</v>
          </cell>
          <cell r="C17" t="str">
            <v>WILLIAM JOSE MENDOZA ALVARADO</v>
          </cell>
        </row>
        <row r="18">
          <cell r="A18">
            <v>889121</v>
          </cell>
          <cell r="B18" t="str">
            <v>CO</v>
          </cell>
          <cell r="C18" t="str">
            <v>MUÑOZ PEREZ DEMETRIO  CARMELO</v>
          </cell>
        </row>
        <row r="19">
          <cell r="A19">
            <v>1114369</v>
          </cell>
          <cell r="B19" t="str">
            <v>CO</v>
          </cell>
          <cell r="C19" t="str">
            <v>JARAMILLO YEPES LIBARDO</v>
          </cell>
        </row>
        <row r="20">
          <cell r="A20">
            <v>1174043</v>
          </cell>
          <cell r="B20" t="str">
            <v>CO</v>
          </cell>
          <cell r="C20" t="str">
            <v>PUBLIO ROBERTO SIERRA</v>
          </cell>
        </row>
        <row r="21">
          <cell r="A21">
            <v>1179614</v>
          </cell>
          <cell r="B21" t="str">
            <v>CO</v>
          </cell>
          <cell r="C21" t="str">
            <v>ELIECER QUINTANA</v>
          </cell>
        </row>
        <row r="22">
          <cell r="A22">
            <v>1599654</v>
          </cell>
          <cell r="B22" t="str">
            <v>CO</v>
          </cell>
          <cell r="C22" t="str">
            <v>VASQUEZ GABRIEL</v>
          </cell>
        </row>
        <row r="23">
          <cell r="A23">
            <v>1755508</v>
          </cell>
          <cell r="B23" t="str">
            <v>CO</v>
          </cell>
          <cell r="C23" t="str">
            <v>MENDOZA MARQUEZ ALEXANDER RAMON</v>
          </cell>
        </row>
        <row r="24">
          <cell r="A24">
            <v>2050060</v>
          </cell>
          <cell r="B24" t="str">
            <v>CO</v>
          </cell>
          <cell r="C24" t="str">
            <v>JUAN BAUTISTA MARIN VALBUENA</v>
          </cell>
        </row>
        <row r="25">
          <cell r="A25">
            <v>2056097</v>
          </cell>
          <cell r="B25" t="str">
            <v>CO</v>
          </cell>
          <cell r="C25" t="str">
            <v>TOSSCANO ESPAÑA BENEDICTO ANTONIO</v>
          </cell>
        </row>
        <row r="26">
          <cell r="A26">
            <v>2843667</v>
          </cell>
          <cell r="B26" t="str">
            <v>CO</v>
          </cell>
          <cell r="C26" t="str">
            <v>MOGOLLON CARRANZA JAIME</v>
          </cell>
        </row>
        <row r="27">
          <cell r="A27">
            <v>2876833</v>
          </cell>
          <cell r="B27" t="str">
            <v>CO</v>
          </cell>
          <cell r="C27" t="str">
            <v>QUIROGA GUSTAVO</v>
          </cell>
        </row>
        <row r="28">
          <cell r="A28">
            <v>2879453</v>
          </cell>
          <cell r="B28" t="str">
            <v>CO</v>
          </cell>
          <cell r="C28" t="str">
            <v>DIAZ JARAMILLO JORGE</v>
          </cell>
        </row>
        <row r="29">
          <cell r="A29">
            <v>2955838</v>
          </cell>
          <cell r="B29" t="str">
            <v>CO</v>
          </cell>
          <cell r="C29" t="str">
            <v>SANCHEZ GUEVARA JAVIER</v>
          </cell>
        </row>
        <row r="30">
          <cell r="A30">
            <v>2957438</v>
          </cell>
          <cell r="B30" t="str">
            <v>CO</v>
          </cell>
          <cell r="C30" t="str">
            <v>SEGURA JOHN ERNALDO</v>
          </cell>
        </row>
        <row r="31">
          <cell r="A31">
            <v>2988886</v>
          </cell>
          <cell r="B31" t="str">
            <v>CO</v>
          </cell>
          <cell r="C31" t="str">
            <v>FONSECA CALDERON EDGAR HERNAN</v>
          </cell>
        </row>
        <row r="32">
          <cell r="A32">
            <v>3020761</v>
          </cell>
          <cell r="B32" t="str">
            <v>CO</v>
          </cell>
          <cell r="C32" t="str">
            <v>CARLOS ARNULFO MORENO MORENO</v>
          </cell>
        </row>
        <row r="33">
          <cell r="A33">
            <v>3070305</v>
          </cell>
          <cell r="B33" t="str">
            <v>CO</v>
          </cell>
          <cell r="C33" t="str">
            <v>UNUBIO MORENO JULIAN ESTEBAN</v>
          </cell>
        </row>
        <row r="34">
          <cell r="A34">
            <v>3111321</v>
          </cell>
          <cell r="B34" t="str">
            <v>CO</v>
          </cell>
          <cell r="C34" t="str">
            <v>DUARTE NOVA JHON JAIRO</v>
          </cell>
        </row>
        <row r="35">
          <cell r="A35">
            <v>3180536</v>
          </cell>
          <cell r="B35" t="str">
            <v>CO</v>
          </cell>
          <cell r="C35" t="str">
            <v>RICARDO GOMEZ</v>
          </cell>
        </row>
        <row r="36">
          <cell r="A36">
            <v>3181855</v>
          </cell>
          <cell r="B36" t="str">
            <v>CO</v>
          </cell>
          <cell r="C36" t="str">
            <v>BOLIVAR LUIS GERMAN</v>
          </cell>
        </row>
        <row r="37">
          <cell r="A37">
            <v>3192747</v>
          </cell>
          <cell r="B37" t="str">
            <v>CO</v>
          </cell>
          <cell r="C37" t="str">
            <v>RAMIREZ FABIO</v>
          </cell>
        </row>
        <row r="38">
          <cell r="A38">
            <v>3238862</v>
          </cell>
          <cell r="B38" t="str">
            <v>CO</v>
          </cell>
          <cell r="C38" t="str">
            <v>MOYA PRIAS VICTOR FERNANDO</v>
          </cell>
        </row>
        <row r="39">
          <cell r="A39">
            <v>3271689</v>
          </cell>
          <cell r="B39" t="str">
            <v>CO</v>
          </cell>
          <cell r="C39" t="str">
            <v>MOSQUERA SANTAMARIA JOSE REINERO</v>
          </cell>
        </row>
        <row r="40">
          <cell r="A40">
            <v>3392578</v>
          </cell>
          <cell r="B40" t="str">
            <v>CO</v>
          </cell>
          <cell r="C40" t="str">
            <v>HERRERA MAZO YOLBER ESTIBER</v>
          </cell>
        </row>
        <row r="41">
          <cell r="A41">
            <v>3406139</v>
          </cell>
          <cell r="B41" t="str">
            <v>CO</v>
          </cell>
          <cell r="C41" t="str">
            <v>ACEVEDO DUQUE GONZALO</v>
          </cell>
        </row>
        <row r="42">
          <cell r="A42">
            <v>4040521</v>
          </cell>
          <cell r="B42" t="str">
            <v>CO</v>
          </cell>
          <cell r="C42" t="str">
            <v>JOSE GERARDO GONZALEZ BEDOYA</v>
          </cell>
        </row>
        <row r="43">
          <cell r="A43">
            <v>4053524</v>
          </cell>
          <cell r="B43" t="str">
            <v>CO</v>
          </cell>
          <cell r="C43" t="str">
            <v>CORONADO DIAZ ADOLFO</v>
          </cell>
        </row>
        <row r="44">
          <cell r="A44">
            <v>4053788</v>
          </cell>
          <cell r="B44" t="str">
            <v>CO</v>
          </cell>
          <cell r="C44" t="str">
            <v>MAURICIO VARGAS ROMERO</v>
          </cell>
        </row>
        <row r="45">
          <cell r="A45">
            <v>4129741</v>
          </cell>
          <cell r="B45" t="str">
            <v>CO</v>
          </cell>
          <cell r="C45" t="str">
            <v>BERNAL RUIZ JOSE AGUSTIN</v>
          </cell>
        </row>
        <row r="46">
          <cell r="A46">
            <v>4150415</v>
          </cell>
          <cell r="B46" t="str">
            <v>CO</v>
          </cell>
          <cell r="C46" t="str">
            <v>BUITRAGO VANEGAS LEOPOLDO</v>
          </cell>
        </row>
        <row r="47">
          <cell r="A47">
            <v>4184442</v>
          </cell>
          <cell r="B47" t="str">
            <v>CO</v>
          </cell>
          <cell r="C47" t="str">
            <v>MERLO VARGAS ANGEL MARIA</v>
          </cell>
        </row>
        <row r="48">
          <cell r="A48">
            <v>4186126</v>
          </cell>
          <cell r="B48" t="str">
            <v>CO</v>
          </cell>
          <cell r="C48" t="str">
            <v>BERNAL PEÑA JOAQUIN</v>
          </cell>
        </row>
        <row r="49">
          <cell r="A49">
            <v>4192107</v>
          </cell>
          <cell r="B49" t="str">
            <v>CO</v>
          </cell>
          <cell r="C49" t="str">
            <v>RAMIREZ SANCHEZ YESID ALBEIRO</v>
          </cell>
        </row>
        <row r="50">
          <cell r="A50">
            <v>4192280</v>
          </cell>
          <cell r="B50" t="str">
            <v>CO</v>
          </cell>
          <cell r="C50" t="str">
            <v>GIL RAMIREZ JOSE RODOLFO  </v>
          </cell>
        </row>
        <row r="51">
          <cell r="A51">
            <v>4211467</v>
          </cell>
          <cell r="B51" t="str">
            <v>CO</v>
          </cell>
          <cell r="C51" t="str">
            <v>MORENO TEODULFO</v>
          </cell>
        </row>
        <row r="52">
          <cell r="A52">
            <v>4239434</v>
          </cell>
          <cell r="B52" t="str">
            <v>CO</v>
          </cell>
          <cell r="C52" t="str">
            <v>HERNANDEZ BOTIA HERALDO DE JESUS</v>
          </cell>
        </row>
        <row r="53">
          <cell r="A53">
            <v>4269559</v>
          </cell>
          <cell r="B53" t="str">
            <v>CO</v>
          </cell>
          <cell r="C53" t="str">
            <v>VARGAS PRIETO JUAN PABLO</v>
          </cell>
        </row>
        <row r="54">
          <cell r="A54">
            <v>4277774</v>
          </cell>
          <cell r="B54" t="str">
            <v>CO</v>
          </cell>
          <cell r="C54" t="str">
            <v>BERNAL VERGARA JOSE FROILAN</v>
          </cell>
        </row>
        <row r="55">
          <cell r="A55">
            <v>4284188</v>
          </cell>
          <cell r="B55" t="str">
            <v>CO</v>
          </cell>
          <cell r="C55" t="str">
            <v>SAENZ DURAN FRANCISCO</v>
          </cell>
        </row>
        <row r="56">
          <cell r="A56">
            <v>4414403</v>
          </cell>
          <cell r="B56" t="str">
            <v>CO</v>
          </cell>
          <cell r="C56" t="str">
            <v>PABON GOMEZ ALEXANDER</v>
          </cell>
        </row>
        <row r="57">
          <cell r="A57">
            <v>4617863</v>
          </cell>
          <cell r="B57" t="str">
            <v>CO</v>
          </cell>
          <cell r="C57" t="str">
            <v>RUIZ QUIÑONEZ JOSE LUIS</v>
          </cell>
        </row>
        <row r="58">
          <cell r="A58">
            <v>5031317</v>
          </cell>
          <cell r="B58" t="str">
            <v>CO</v>
          </cell>
          <cell r="C58" t="str">
            <v>GARCIA MOLINA JOSE</v>
          </cell>
        </row>
        <row r="59">
          <cell r="A59">
            <v>5093869</v>
          </cell>
          <cell r="B59" t="str">
            <v>CO</v>
          </cell>
          <cell r="C59" t="str">
            <v>GUERRA FRANCISCO JAVIER</v>
          </cell>
        </row>
        <row r="60">
          <cell r="A60">
            <v>5158636</v>
          </cell>
          <cell r="B60" t="str">
            <v>CO</v>
          </cell>
          <cell r="C60" t="str">
            <v>SARMIENTO PABLO ENRIQUE</v>
          </cell>
        </row>
        <row r="61">
          <cell r="A61">
            <v>5206670</v>
          </cell>
          <cell r="B61" t="str">
            <v>CO</v>
          </cell>
          <cell r="C61" t="str">
            <v>PANTOJA MERINO FREDY ANTONIO</v>
          </cell>
        </row>
        <row r="62">
          <cell r="A62">
            <v>5286906</v>
          </cell>
          <cell r="B62" t="str">
            <v>CO</v>
          </cell>
          <cell r="C62" t="str">
            <v>ROMERO PANTOJA FELIX</v>
          </cell>
        </row>
        <row r="63">
          <cell r="A63">
            <v>5463640</v>
          </cell>
          <cell r="B63" t="str">
            <v>CO</v>
          </cell>
          <cell r="C63" t="str">
            <v>JAIRO GANDUR ABUABARA</v>
          </cell>
        </row>
        <row r="64">
          <cell r="A64">
            <v>5554379</v>
          </cell>
          <cell r="B64" t="str">
            <v>CO</v>
          </cell>
          <cell r="C64" t="str">
            <v>GAMEZ CARDENAS NOE</v>
          </cell>
        </row>
        <row r="65">
          <cell r="A65">
            <v>5557982</v>
          </cell>
          <cell r="B65" t="str">
            <v>CO</v>
          </cell>
          <cell r="C65" t="str">
            <v>SANCHEZ ROMERO LUIS ENRIQUE</v>
          </cell>
        </row>
        <row r="66">
          <cell r="A66">
            <v>5588537</v>
          </cell>
          <cell r="B66" t="str">
            <v>CO</v>
          </cell>
          <cell r="C66" t="str">
            <v>RUIZ MENESES GONZALO</v>
          </cell>
        </row>
        <row r="67">
          <cell r="A67">
            <v>5638642</v>
          </cell>
          <cell r="B67" t="str">
            <v>CO</v>
          </cell>
          <cell r="C67" t="str">
            <v>RAMOS HERNANDEZ BENITO</v>
          </cell>
        </row>
        <row r="68">
          <cell r="A68">
            <v>5684687</v>
          </cell>
          <cell r="B68" t="str">
            <v>CO</v>
          </cell>
          <cell r="C68" t="str">
            <v>HORACIO MONTAGUT VALBUENA</v>
          </cell>
        </row>
        <row r="69">
          <cell r="A69">
            <v>5710514</v>
          </cell>
          <cell r="B69" t="str">
            <v>CO</v>
          </cell>
          <cell r="C69" t="str">
            <v>ARIZA CASTILLO NOEL</v>
          </cell>
        </row>
        <row r="70">
          <cell r="A70">
            <v>5713885</v>
          </cell>
          <cell r="B70" t="str">
            <v>CO</v>
          </cell>
          <cell r="C70" t="str">
            <v>AYALA VILLEGAS ANDRES</v>
          </cell>
        </row>
        <row r="71">
          <cell r="A71">
            <v>5784647</v>
          </cell>
          <cell r="B71" t="str">
            <v>CO</v>
          </cell>
          <cell r="C71" t="str">
            <v>ARTURO BLANCO ORTIZ</v>
          </cell>
        </row>
        <row r="72">
          <cell r="A72">
            <v>5796019</v>
          </cell>
          <cell r="B72" t="str">
            <v>CO</v>
          </cell>
          <cell r="C72" t="str">
            <v>RUEDA PRADA JUAN JOSE</v>
          </cell>
        </row>
        <row r="73">
          <cell r="A73">
            <v>5796467</v>
          </cell>
          <cell r="B73" t="str">
            <v>CO</v>
          </cell>
          <cell r="C73" t="str">
            <v>HECTOR AMAYA QUINTERO</v>
          </cell>
        </row>
        <row r="74">
          <cell r="A74">
            <v>5796676</v>
          </cell>
          <cell r="B74" t="str">
            <v>CO</v>
          </cell>
          <cell r="C74" t="str">
            <v>VARGAS ARIZA HENRY</v>
          </cell>
        </row>
        <row r="75">
          <cell r="A75">
            <v>5819927</v>
          </cell>
          <cell r="B75" t="str">
            <v>CO</v>
          </cell>
          <cell r="C75" t="str">
            <v>HELGER AUGUSTO ACOSTA MUÑOZ</v>
          </cell>
        </row>
        <row r="76">
          <cell r="A76">
            <v>5892475</v>
          </cell>
          <cell r="B76" t="str">
            <v>CO</v>
          </cell>
          <cell r="C76" t="str">
            <v>JORGE ELIECER DEVIA MORALES</v>
          </cell>
        </row>
        <row r="77">
          <cell r="A77">
            <v>5913771</v>
          </cell>
          <cell r="B77" t="str">
            <v>CO</v>
          </cell>
          <cell r="C77" t="str">
            <v>ALONSO ECHAVARRIA GAONA</v>
          </cell>
        </row>
        <row r="78">
          <cell r="A78">
            <v>6221227</v>
          </cell>
          <cell r="B78" t="str">
            <v>CO</v>
          </cell>
          <cell r="C78" t="str">
            <v>TOVAR VIVEROS JAVIER</v>
          </cell>
        </row>
        <row r="79">
          <cell r="A79">
            <v>6373156</v>
          </cell>
          <cell r="B79" t="str">
            <v>CO</v>
          </cell>
          <cell r="C79" t="str">
            <v>PEDRO EDILBER OCAMPO FANDIÑO</v>
          </cell>
        </row>
        <row r="80">
          <cell r="A80">
            <v>6435865</v>
          </cell>
          <cell r="B80" t="str">
            <v>CO</v>
          </cell>
          <cell r="C80" t="str">
            <v>OSCAR TULIO MUÑOZ</v>
          </cell>
        </row>
        <row r="81">
          <cell r="A81">
            <v>6663465</v>
          </cell>
          <cell r="B81" t="str">
            <v>CO</v>
          </cell>
          <cell r="C81" t="str">
            <v>RUBEN DARIO JAIMES DOMINGUEZ</v>
          </cell>
        </row>
        <row r="82">
          <cell r="A82">
            <v>6754218</v>
          </cell>
          <cell r="B82" t="str">
            <v>CO</v>
          </cell>
          <cell r="C82" t="str">
            <v>GOMEZ OCTAVIO</v>
          </cell>
        </row>
        <row r="83">
          <cell r="A83">
            <v>6758467</v>
          </cell>
          <cell r="B83" t="str">
            <v>CO</v>
          </cell>
          <cell r="C83" t="str">
            <v>MARTINEZ CASTRO HERNANDO</v>
          </cell>
        </row>
        <row r="84">
          <cell r="A84">
            <v>6767552</v>
          </cell>
          <cell r="B84" t="str">
            <v>CO</v>
          </cell>
          <cell r="C84" t="str">
            <v>MARTINEZ JOSE MANUEL</v>
          </cell>
        </row>
        <row r="85">
          <cell r="A85">
            <v>6773638</v>
          </cell>
          <cell r="B85" t="str">
            <v>CO</v>
          </cell>
          <cell r="C85" t="str">
            <v>CEPEDA CALDERON CARLOS JULIO</v>
          </cell>
        </row>
        <row r="86">
          <cell r="A86">
            <v>6773645</v>
          </cell>
          <cell r="B86" t="str">
            <v>CO</v>
          </cell>
          <cell r="C86" t="str">
            <v>MORALES SANCHEZ ORLANDO</v>
          </cell>
        </row>
        <row r="87">
          <cell r="A87">
            <v>6773835</v>
          </cell>
          <cell r="B87" t="str">
            <v>CO</v>
          </cell>
          <cell r="C87" t="str">
            <v>TELLEZ CORREA JAIME ROBERTO</v>
          </cell>
        </row>
        <row r="88">
          <cell r="A88">
            <v>6773957</v>
          </cell>
          <cell r="B88" t="str">
            <v>CO</v>
          </cell>
          <cell r="C88" t="str">
            <v>GOMEZ GIRALDO JOHN DARIO</v>
          </cell>
        </row>
        <row r="89">
          <cell r="A89">
            <v>6876374</v>
          </cell>
          <cell r="B89" t="str">
            <v>CO</v>
          </cell>
          <cell r="C89" t="str">
            <v>JAIME RAFAEL PATERNINA GUERRA</v>
          </cell>
        </row>
        <row r="90">
          <cell r="A90">
            <v>7061191</v>
          </cell>
          <cell r="B90" t="str">
            <v>CO</v>
          </cell>
          <cell r="C90" t="str">
            <v>BENITES MORENO OSCAR ALVEIRO</v>
          </cell>
        </row>
        <row r="91">
          <cell r="A91">
            <v>7178371</v>
          </cell>
          <cell r="B91" t="str">
            <v>CO</v>
          </cell>
          <cell r="C91" t="str">
            <v>MILTON CASANOVA MORENO</v>
          </cell>
        </row>
        <row r="92">
          <cell r="A92">
            <v>7179104</v>
          </cell>
          <cell r="B92" t="str">
            <v>CO</v>
          </cell>
          <cell r="C92" t="str">
            <v>MORENO GOMEZ NELSON ARLEY</v>
          </cell>
        </row>
        <row r="93">
          <cell r="A93">
            <v>7184972</v>
          </cell>
          <cell r="B93" t="str">
            <v>CO</v>
          </cell>
          <cell r="C93" t="str">
            <v>MOLINA ORTEGA ANDRES LEONARDO</v>
          </cell>
        </row>
        <row r="94">
          <cell r="A94">
            <v>7212730</v>
          </cell>
          <cell r="B94" t="str">
            <v>CO</v>
          </cell>
          <cell r="C94" t="str">
            <v>LUIS GUILLERMO CERON</v>
          </cell>
        </row>
        <row r="95">
          <cell r="A95">
            <v>7217658</v>
          </cell>
          <cell r="B95" t="str">
            <v>CO</v>
          </cell>
          <cell r="C95" t="str">
            <v>RODAS JOSE DARIO</v>
          </cell>
        </row>
        <row r="96">
          <cell r="A96">
            <v>7245555</v>
          </cell>
          <cell r="B96" t="str">
            <v>CO</v>
          </cell>
          <cell r="C96" t="str">
            <v>RESTREPO MONTES OMAR LICINIO</v>
          </cell>
        </row>
        <row r="97">
          <cell r="A97">
            <v>7246507</v>
          </cell>
          <cell r="B97" t="str">
            <v>CO</v>
          </cell>
          <cell r="C97" t="str">
            <v>ROMERO RAMIREZ NEFTALI</v>
          </cell>
        </row>
        <row r="98">
          <cell r="A98">
            <v>7247272</v>
          </cell>
          <cell r="B98" t="str">
            <v>CO</v>
          </cell>
          <cell r="C98" t="str">
            <v>CORDOBA MUR JESUS MARIA</v>
          </cell>
        </row>
        <row r="99">
          <cell r="A99">
            <v>7250644</v>
          </cell>
          <cell r="B99" t="str">
            <v>CO</v>
          </cell>
          <cell r="C99" t="str">
            <v>REYES LEON LIBARDO</v>
          </cell>
        </row>
        <row r="100">
          <cell r="A100">
            <v>7251920</v>
          </cell>
          <cell r="B100" t="str">
            <v>CO</v>
          </cell>
          <cell r="C100" t="str">
            <v>MILLAN CARDOSO CRUZ DANIEL</v>
          </cell>
        </row>
        <row r="101">
          <cell r="A101">
            <v>7252142</v>
          </cell>
          <cell r="B101" t="str">
            <v>CO</v>
          </cell>
          <cell r="C101" t="str">
            <v>GUARIN BARRAGAN AUGUSTO</v>
          </cell>
        </row>
        <row r="102">
          <cell r="A102">
            <v>7252237</v>
          </cell>
          <cell r="B102" t="str">
            <v>CO</v>
          </cell>
          <cell r="C102" t="str">
            <v>FLORIDO BELTRAN URIEL</v>
          </cell>
        </row>
        <row r="103">
          <cell r="A103">
            <v>7254935</v>
          </cell>
          <cell r="B103" t="str">
            <v>CO</v>
          </cell>
          <cell r="C103" t="str">
            <v>RUBEN PIÑEROS</v>
          </cell>
        </row>
        <row r="104">
          <cell r="A104">
            <v>7279126</v>
          </cell>
          <cell r="B104" t="str">
            <v>CO</v>
          </cell>
          <cell r="C104" t="str">
            <v>GUZMAN SIERRA CARLOS YAMID</v>
          </cell>
        </row>
        <row r="105">
          <cell r="A105">
            <v>7334641</v>
          </cell>
          <cell r="B105" t="str">
            <v>CO</v>
          </cell>
          <cell r="C105" t="str">
            <v>ROJAS CUESTA JORGE RAMIRO</v>
          </cell>
        </row>
        <row r="106">
          <cell r="A106">
            <v>7363452</v>
          </cell>
          <cell r="B106" t="str">
            <v>CO</v>
          </cell>
          <cell r="C106" t="str">
            <v>CONDE RODRIGUEZ MILTON JAVIER</v>
          </cell>
        </row>
        <row r="107">
          <cell r="A107">
            <v>7427693</v>
          </cell>
          <cell r="B107" t="str">
            <v>CO</v>
          </cell>
          <cell r="C107" t="str">
            <v>FRANCISCO DE ASIS GOMEZ GUARIN</v>
          </cell>
        </row>
        <row r="108">
          <cell r="A108">
            <v>7506828</v>
          </cell>
          <cell r="B108" t="str">
            <v>CO</v>
          </cell>
          <cell r="C108" t="str">
            <v>ARENAS ISAZA ALDEMAR</v>
          </cell>
        </row>
        <row r="109">
          <cell r="A109">
            <v>7700782</v>
          </cell>
          <cell r="B109" t="str">
            <v>CO</v>
          </cell>
          <cell r="C109" t="str">
            <v>JOHN ADOLFO RIVERA TRUJILLO</v>
          </cell>
        </row>
        <row r="110">
          <cell r="A110">
            <v>7716193</v>
          </cell>
          <cell r="B110" t="str">
            <v>CO</v>
          </cell>
          <cell r="C110" t="str">
            <v>FRANCISCO JAVIER APONTE VARGAS</v>
          </cell>
        </row>
        <row r="111">
          <cell r="A111">
            <v>7716771</v>
          </cell>
          <cell r="B111" t="str">
            <v>CO</v>
          </cell>
          <cell r="C111" t="str">
            <v>ALBERTO ZAPATA MUÑOZ</v>
          </cell>
        </row>
        <row r="112">
          <cell r="A112">
            <v>7721948</v>
          </cell>
          <cell r="B112" t="str">
            <v>CO</v>
          </cell>
          <cell r="C112" t="str">
            <v>JORGE HERNANDO BARACALDO ARTUNDUAGA</v>
          </cell>
        </row>
        <row r="113">
          <cell r="A113">
            <v>7731565</v>
          </cell>
          <cell r="B113" t="str">
            <v>CO</v>
          </cell>
          <cell r="C113" t="str">
            <v>JORGE ALBERTO CHARRY GONZALEZ</v>
          </cell>
        </row>
        <row r="114">
          <cell r="A114">
            <v>7918354</v>
          </cell>
          <cell r="B114" t="str">
            <v>CO</v>
          </cell>
          <cell r="C114" t="str">
            <v>LUIS DE JESUS ZUÑIGA HERRERA</v>
          </cell>
        </row>
        <row r="115">
          <cell r="A115">
            <v>8026093</v>
          </cell>
          <cell r="B115" t="str">
            <v>CO</v>
          </cell>
          <cell r="C115" t="str">
            <v>BAYONA CABRALES FABIO ALEXANDER</v>
          </cell>
        </row>
        <row r="116">
          <cell r="A116">
            <v>8054414</v>
          </cell>
          <cell r="B116" t="str">
            <v>CO</v>
          </cell>
          <cell r="C116" t="str">
            <v>MENDEZ HERNANDEZ EDGAR FERNANDO</v>
          </cell>
        </row>
        <row r="117">
          <cell r="A117">
            <v>8190659</v>
          </cell>
          <cell r="B117" t="str">
            <v>CO</v>
          </cell>
          <cell r="C117" t="str">
            <v>NEUQUE RICARDO</v>
          </cell>
        </row>
        <row r="118">
          <cell r="A118">
            <v>8190936</v>
          </cell>
          <cell r="B118" t="str">
            <v>CO</v>
          </cell>
          <cell r="C118" t="str">
            <v>HENRY NOVA MARTINEZ</v>
          </cell>
        </row>
        <row r="119">
          <cell r="A119">
            <v>8192165</v>
          </cell>
          <cell r="B119" t="str">
            <v>CO</v>
          </cell>
          <cell r="C119" t="str">
            <v>CARDENAS HOLGUIN GUILLEVALDO</v>
          </cell>
        </row>
        <row r="120">
          <cell r="A120">
            <v>8274875</v>
          </cell>
          <cell r="B120" t="str">
            <v>CO</v>
          </cell>
          <cell r="C120" t="str">
            <v>QUINTERO VILLA ALBERTO</v>
          </cell>
        </row>
        <row r="121">
          <cell r="A121">
            <v>8429978</v>
          </cell>
          <cell r="B121" t="str">
            <v>CO</v>
          </cell>
          <cell r="C121" t="str">
            <v>LOPEZ GERMAN GUILLERMO</v>
          </cell>
        </row>
        <row r="122">
          <cell r="A122">
            <v>8727501</v>
          </cell>
          <cell r="B122" t="str">
            <v>CO</v>
          </cell>
          <cell r="C122" t="str">
            <v>VARGAS ACOSTA REGULO</v>
          </cell>
        </row>
        <row r="123">
          <cell r="A123">
            <v>8732228</v>
          </cell>
          <cell r="B123" t="str">
            <v>CO</v>
          </cell>
          <cell r="C123" t="str">
            <v>DELGADO MENDOZA JAIME ALONSO</v>
          </cell>
        </row>
        <row r="124">
          <cell r="A124">
            <v>8749310</v>
          </cell>
          <cell r="B124" t="str">
            <v>CO</v>
          </cell>
          <cell r="C124" t="str">
            <v>RUEDA MARTINEZ ARCENIO</v>
          </cell>
        </row>
        <row r="125">
          <cell r="A125">
            <v>9142648</v>
          </cell>
          <cell r="B125" t="str">
            <v>CO</v>
          </cell>
          <cell r="C125" t="str">
            <v>BARRERA PIEDRAHITA RAFAEL ELIAS</v>
          </cell>
        </row>
        <row r="126">
          <cell r="A126">
            <v>9165070</v>
          </cell>
          <cell r="B126" t="str">
            <v>CO</v>
          </cell>
          <cell r="C126" t="str">
            <v>CAMPO ALVARINO ISAAC</v>
          </cell>
        </row>
        <row r="127">
          <cell r="A127">
            <v>9237347</v>
          </cell>
          <cell r="B127" t="str">
            <v>CO</v>
          </cell>
          <cell r="C127" t="str">
            <v>ZURITA BELTRAN WILMER</v>
          </cell>
        </row>
        <row r="128">
          <cell r="A128">
            <v>9390057</v>
          </cell>
          <cell r="B128" t="str">
            <v>CO</v>
          </cell>
          <cell r="C128" t="str">
            <v>ALFREY NERVARDO URREGO ROA</v>
          </cell>
        </row>
        <row r="129">
          <cell r="A129">
            <v>9390066</v>
          </cell>
          <cell r="B129" t="str">
            <v>CO</v>
          </cell>
          <cell r="C129" t="str">
            <v>ZAMBRANO BONELO JUAN PABLO</v>
          </cell>
        </row>
        <row r="130">
          <cell r="A130">
            <v>9433930</v>
          </cell>
          <cell r="B130" t="str">
            <v>CO</v>
          </cell>
          <cell r="C130" t="str">
            <v>CORREDOR GONZALEZ DAMIAN ALFREDO</v>
          </cell>
        </row>
        <row r="131">
          <cell r="A131">
            <v>9465874</v>
          </cell>
          <cell r="B131" t="str">
            <v>CO</v>
          </cell>
          <cell r="C131" t="str">
            <v>JOSE EURIPIDES VARGAS DUEÑEZ</v>
          </cell>
        </row>
        <row r="132">
          <cell r="A132">
            <v>9521200</v>
          </cell>
          <cell r="B132" t="str">
            <v>CO</v>
          </cell>
          <cell r="C132" t="str">
            <v>MONRROY PEDRAZA NOLBERTO</v>
          </cell>
        </row>
        <row r="133">
          <cell r="A133">
            <v>9523882</v>
          </cell>
          <cell r="B133" t="str">
            <v>CO</v>
          </cell>
          <cell r="C133" t="str">
            <v>JAIME HUMBERTO CONTRERAS COLMENARES</v>
          </cell>
        </row>
        <row r="134">
          <cell r="A134">
            <v>9529610</v>
          </cell>
          <cell r="B134" t="str">
            <v>CO</v>
          </cell>
          <cell r="C134" t="str">
            <v>RODRIGUEZ VARGAS REINALDO</v>
          </cell>
        </row>
        <row r="135">
          <cell r="A135">
            <v>9657475</v>
          </cell>
          <cell r="B135" t="str">
            <v>CO</v>
          </cell>
          <cell r="C135" t="str">
            <v>REGULO VARGAS PRIETO</v>
          </cell>
        </row>
        <row r="136">
          <cell r="A136">
            <v>10126298</v>
          </cell>
          <cell r="B136" t="str">
            <v>CO</v>
          </cell>
          <cell r="C136" t="str">
            <v>PARRA DAVILA SAMUEL EDUARDO</v>
          </cell>
        </row>
        <row r="137">
          <cell r="A137">
            <v>10162730</v>
          </cell>
          <cell r="B137" t="str">
            <v>CO</v>
          </cell>
          <cell r="C137" t="str">
            <v>ORTEGA MARIA CRISTINA</v>
          </cell>
        </row>
        <row r="138">
          <cell r="A138">
            <v>10167303</v>
          </cell>
          <cell r="B138" t="str">
            <v>CO</v>
          </cell>
          <cell r="C138" t="str">
            <v>CARNDONA CARDONA HENRY HERNANDO</v>
          </cell>
        </row>
        <row r="139">
          <cell r="A139">
            <v>10245817</v>
          </cell>
          <cell r="B139" t="str">
            <v>CO</v>
          </cell>
          <cell r="C139" t="str">
            <v>LUIS JAVIER LOPEZ FRANCO</v>
          </cell>
        </row>
        <row r="140">
          <cell r="A140">
            <v>10257647</v>
          </cell>
          <cell r="B140" t="str">
            <v>CO</v>
          </cell>
          <cell r="C140" t="str">
            <v>ALCALDE GUILLERMO DE JESUS</v>
          </cell>
        </row>
        <row r="141">
          <cell r="A141">
            <v>10293180</v>
          </cell>
          <cell r="B141" t="str">
            <v>CO</v>
          </cell>
          <cell r="C141" t="str">
            <v>BOLAÑOS RIVERA WILMAR MARINO</v>
          </cell>
        </row>
        <row r="142">
          <cell r="A142">
            <v>10294114</v>
          </cell>
          <cell r="B142" t="str">
            <v>CO</v>
          </cell>
          <cell r="C142" t="str">
            <v>ALEXANDER CONSTAIN DAZA</v>
          </cell>
        </row>
        <row r="143">
          <cell r="A143">
            <v>10295803</v>
          </cell>
          <cell r="B143" t="str">
            <v>CO</v>
          </cell>
          <cell r="C143" t="str">
            <v>OSCAR JAVIER JIMENEZ CASTILLO</v>
          </cell>
        </row>
        <row r="144">
          <cell r="A144">
            <v>10296591</v>
          </cell>
          <cell r="B144" t="str">
            <v>CO</v>
          </cell>
          <cell r="C144" t="str">
            <v>GALLEGO FERNANDEZ RICARDO ANTONIO</v>
          </cell>
        </row>
        <row r="145">
          <cell r="A145">
            <v>10296640</v>
          </cell>
          <cell r="B145" t="str">
            <v>CO</v>
          </cell>
          <cell r="C145" t="str">
            <v>JAIME ANDRES LOPEZ MUÑOZ</v>
          </cell>
        </row>
        <row r="146">
          <cell r="A146">
            <v>10300856</v>
          </cell>
          <cell r="B146" t="str">
            <v>CO</v>
          </cell>
          <cell r="C146" t="str">
            <v>LUIS FELIPE VELASCO MUÑOZ</v>
          </cell>
        </row>
        <row r="147">
          <cell r="A147">
            <v>10306806</v>
          </cell>
          <cell r="B147" t="str">
            <v>CO</v>
          </cell>
          <cell r="C147" t="str">
            <v>JAIRO ALBERTO MOSQUERA SAAVEDRA</v>
          </cell>
        </row>
        <row r="148">
          <cell r="A148">
            <v>10740873</v>
          </cell>
          <cell r="B148" t="str">
            <v>CO</v>
          </cell>
          <cell r="C148" t="str">
            <v>JAVIER MAURICIO MINA TROCHEZ</v>
          </cell>
        </row>
        <row r="149">
          <cell r="A149">
            <v>11188872</v>
          </cell>
          <cell r="B149" t="str">
            <v>CO</v>
          </cell>
          <cell r="C149" t="str">
            <v>VERGAÑO PRIETO GELVEZ LEONARDO</v>
          </cell>
        </row>
        <row r="150">
          <cell r="A150">
            <v>11201413</v>
          </cell>
          <cell r="B150" t="str">
            <v>CO</v>
          </cell>
          <cell r="C150" t="str">
            <v>ANDRES ALEXANDER CASTILLO MARIN</v>
          </cell>
        </row>
        <row r="151">
          <cell r="A151">
            <v>11202446</v>
          </cell>
          <cell r="B151" t="str">
            <v>CO</v>
          </cell>
          <cell r="C151" t="str">
            <v>CARLOS EMILIANO MARTINEZ CRISTANCHO</v>
          </cell>
        </row>
        <row r="152">
          <cell r="A152">
            <v>11203084</v>
          </cell>
          <cell r="B152" t="str">
            <v>CO</v>
          </cell>
          <cell r="C152" t="str">
            <v>YESID GIL PACHON</v>
          </cell>
        </row>
        <row r="153">
          <cell r="A153">
            <v>11231945</v>
          </cell>
          <cell r="B153" t="str">
            <v>CO</v>
          </cell>
          <cell r="C153" t="str">
            <v>ESCOBAR PRECIADO NELSON ANDRES</v>
          </cell>
        </row>
        <row r="154">
          <cell r="A154">
            <v>11233203</v>
          </cell>
          <cell r="B154" t="str">
            <v>CO</v>
          </cell>
          <cell r="C154" t="str">
            <v>RUEDA ESCOBAR JUAN CAMILO</v>
          </cell>
        </row>
        <row r="155">
          <cell r="A155">
            <v>11258687</v>
          </cell>
          <cell r="B155" t="str">
            <v>CO</v>
          </cell>
          <cell r="C155" t="str">
            <v>EDWIN ORLANDO COTRINO SARMIENTO</v>
          </cell>
        </row>
        <row r="156">
          <cell r="A156">
            <v>11307536</v>
          </cell>
          <cell r="B156" t="str">
            <v>CO</v>
          </cell>
          <cell r="C156" t="str">
            <v>HERRERA MENESES FERDINALDO</v>
          </cell>
        </row>
        <row r="157">
          <cell r="A157">
            <v>11336567</v>
          </cell>
          <cell r="B157" t="str">
            <v>CO</v>
          </cell>
          <cell r="C157" t="str">
            <v>MALAGON MENDEZ JOSE JAVIER</v>
          </cell>
        </row>
        <row r="158">
          <cell r="A158">
            <v>11339100</v>
          </cell>
          <cell r="B158" t="str">
            <v>CO</v>
          </cell>
          <cell r="C158" t="str">
            <v>JIMENEZ ALMANZA GUSTAVO</v>
          </cell>
        </row>
        <row r="159">
          <cell r="A159">
            <v>11340842</v>
          </cell>
          <cell r="B159" t="str">
            <v>CO</v>
          </cell>
          <cell r="C159" t="str">
            <v>RUIZ SUAREZ ERNESTO</v>
          </cell>
        </row>
        <row r="160">
          <cell r="A160">
            <v>11341300</v>
          </cell>
          <cell r="B160" t="str">
            <v>CO</v>
          </cell>
          <cell r="C160" t="str">
            <v>SOTELO SUAREZ ORLANDO</v>
          </cell>
        </row>
        <row r="161">
          <cell r="A161">
            <v>11344183</v>
          </cell>
          <cell r="B161" t="str">
            <v>CO</v>
          </cell>
          <cell r="C161" t="str">
            <v>CASAS POPAYÁN GUILLERMO ANTONIO</v>
          </cell>
        </row>
        <row r="162">
          <cell r="A162">
            <v>11378229</v>
          </cell>
          <cell r="B162" t="str">
            <v>CO</v>
          </cell>
          <cell r="C162" t="str">
            <v>HERNANDEZ JOSE ANTONIO</v>
          </cell>
        </row>
        <row r="163">
          <cell r="A163">
            <v>11390187</v>
          </cell>
          <cell r="B163" t="str">
            <v>CO</v>
          </cell>
          <cell r="C163" t="str">
            <v>BELTRAN PINZON FABIAN ESTID</v>
          </cell>
        </row>
        <row r="164">
          <cell r="A164">
            <v>11438513</v>
          </cell>
          <cell r="B164" t="str">
            <v>CO</v>
          </cell>
          <cell r="C164" t="str">
            <v>RODRIGUEZ LUIS CARLOS</v>
          </cell>
        </row>
        <row r="165">
          <cell r="A165">
            <v>11440062</v>
          </cell>
          <cell r="B165" t="str">
            <v>CO</v>
          </cell>
          <cell r="C165" t="str">
            <v>ROMERO HERRERA JAVIER ALEXANDER</v>
          </cell>
        </row>
        <row r="166">
          <cell r="A166">
            <v>11445140</v>
          </cell>
          <cell r="B166" t="str">
            <v>CO</v>
          </cell>
          <cell r="C166" t="str">
            <v>AGUILERA MURCIA OMAR YOBANNI</v>
          </cell>
        </row>
        <row r="167">
          <cell r="A167">
            <v>11446413</v>
          </cell>
          <cell r="B167" t="str">
            <v>CO</v>
          </cell>
          <cell r="C167" t="str">
            <v>GONZALEZ CHIRIVI OSCAR LEONARDO</v>
          </cell>
        </row>
        <row r="168">
          <cell r="A168">
            <v>11449594</v>
          </cell>
          <cell r="B168" t="str">
            <v>CO</v>
          </cell>
          <cell r="C168" t="str">
            <v>NAVARRETE GARCIA PAULO</v>
          </cell>
        </row>
        <row r="169">
          <cell r="A169">
            <v>11521940</v>
          </cell>
          <cell r="B169" t="str">
            <v>CO</v>
          </cell>
          <cell r="C169" t="str">
            <v>PULGARIN NESTOR ARMANDO</v>
          </cell>
        </row>
        <row r="170">
          <cell r="A170">
            <v>11523971</v>
          </cell>
          <cell r="B170" t="str">
            <v>CO</v>
          </cell>
          <cell r="C170" t="str">
            <v>CASTILLO LEONARDO</v>
          </cell>
        </row>
        <row r="171">
          <cell r="A171">
            <v>11720244</v>
          </cell>
          <cell r="B171" t="str">
            <v>CO</v>
          </cell>
          <cell r="C171" t="str">
            <v>MORENO RIVAS ANGEL ANTONIO</v>
          </cell>
        </row>
        <row r="172">
          <cell r="A172">
            <v>11795127</v>
          </cell>
          <cell r="B172" t="str">
            <v>CO</v>
          </cell>
          <cell r="C172" t="str">
            <v>ARMIJO COPETE JASSOMN</v>
          </cell>
        </row>
        <row r="173">
          <cell r="A173">
            <v>12144105</v>
          </cell>
          <cell r="B173" t="str">
            <v>CO</v>
          </cell>
          <cell r="C173" t="str">
            <v>VILLA JAVIER JIMENEZ</v>
          </cell>
        </row>
        <row r="174">
          <cell r="A174">
            <v>12145209</v>
          </cell>
          <cell r="B174" t="str">
            <v>CO</v>
          </cell>
          <cell r="C174" t="str">
            <v>MOSQUERA VARGAS WILLIAM FERMIN</v>
          </cell>
        </row>
        <row r="175">
          <cell r="A175">
            <v>12197661</v>
          </cell>
          <cell r="B175" t="str">
            <v>CO</v>
          </cell>
          <cell r="C175" t="str">
            <v>ROBINSON CASTRO CUENCA</v>
          </cell>
        </row>
        <row r="176">
          <cell r="A176">
            <v>12283860</v>
          </cell>
          <cell r="B176" t="str">
            <v>CO</v>
          </cell>
          <cell r="C176" t="str">
            <v>HERRERA ALVIRA JELBER</v>
          </cell>
        </row>
        <row r="177">
          <cell r="A177">
            <v>12458442</v>
          </cell>
          <cell r="B177" t="str">
            <v>CO</v>
          </cell>
          <cell r="C177" t="str">
            <v>PEDROZO OSPINO SAIT</v>
          </cell>
        </row>
        <row r="178">
          <cell r="A178">
            <v>12615734</v>
          </cell>
          <cell r="B178" t="str">
            <v>CO</v>
          </cell>
          <cell r="C178" t="str">
            <v>SEVILLA CONRADO DAGOBERTO</v>
          </cell>
        </row>
        <row r="179">
          <cell r="A179">
            <v>12955330</v>
          </cell>
          <cell r="B179" t="str">
            <v>CO</v>
          </cell>
          <cell r="C179" t="str">
            <v>HERNANDEZ ESPINOSA JOSE VILLOGIN</v>
          </cell>
        </row>
        <row r="180">
          <cell r="A180">
            <v>12984531</v>
          </cell>
          <cell r="B180" t="str">
            <v>CO</v>
          </cell>
          <cell r="C180" t="str">
            <v>OSCAR DARIO MUÑOZ MUÑOZ</v>
          </cell>
        </row>
        <row r="181">
          <cell r="A181">
            <v>13178307</v>
          </cell>
          <cell r="B181" t="str">
            <v>CO</v>
          </cell>
          <cell r="C181" t="str">
            <v>MILLER DE JESUS IBARRA QUINTERO</v>
          </cell>
        </row>
        <row r="182">
          <cell r="A182">
            <v>13238226</v>
          </cell>
          <cell r="B182" t="str">
            <v>CO</v>
          </cell>
          <cell r="C182" t="str">
            <v>GUZMAN GALEANO GUSTAVO</v>
          </cell>
        </row>
        <row r="183">
          <cell r="A183">
            <v>13452007</v>
          </cell>
          <cell r="B183" t="str">
            <v>CO</v>
          </cell>
          <cell r="C183" t="str">
            <v>ANGEL MARIA ROJAS GOMEZ</v>
          </cell>
        </row>
        <row r="184">
          <cell r="A184">
            <v>13488840</v>
          </cell>
          <cell r="B184" t="str">
            <v>CO</v>
          </cell>
          <cell r="C184" t="str">
            <v>FREDY ANTONIO SANCHEZ RAMIREZ</v>
          </cell>
        </row>
        <row r="185">
          <cell r="A185">
            <v>13499752</v>
          </cell>
          <cell r="B185" t="str">
            <v>CO</v>
          </cell>
          <cell r="C185" t="str">
            <v>RAMIREZ BERMUDEZ EDGAR IVAN</v>
          </cell>
        </row>
        <row r="186">
          <cell r="A186">
            <v>13515331</v>
          </cell>
          <cell r="B186" t="str">
            <v>CO</v>
          </cell>
          <cell r="C186" t="str">
            <v>NUÑEZ LOZADA ANSELMO</v>
          </cell>
        </row>
        <row r="187">
          <cell r="A187">
            <v>13538692</v>
          </cell>
          <cell r="B187" t="str">
            <v>CO</v>
          </cell>
          <cell r="C187" t="str">
            <v>ESTUPIÑAN SANCHEZ MOISES</v>
          </cell>
        </row>
        <row r="188">
          <cell r="A188">
            <v>13565992</v>
          </cell>
          <cell r="B188" t="str">
            <v>CO</v>
          </cell>
          <cell r="C188" t="str">
            <v>CARLOS ALBERTO JIMENEZ FARELO</v>
          </cell>
        </row>
        <row r="189">
          <cell r="A189">
            <v>13566610</v>
          </cell>
          <cell r="B189" t="str">
            <v>CO</v>
          </cell>
          <cell r="C189" t="str">
            <v>CARO ECHAVARRIA EDWIN</v>
          </cell>
        </row>
        <row r="190">
          <cell r="A190">
            <v>13566781</v>
          </cell>
          <cell r="B190" t="str">
            <v>CO</v>
          </cell>
          <cell r="C190" t="str">
            <v>GOMEZ ARIAS LUVING ARNULFO</v>
          </cell>
        </row>
        <row r="191">
          <cell r="A191">
            <v>13567822</v>
          </cell>
          <cell r="B191" t="str">
            <v>CO</v>
          </cell>
          <cell r="C191" t="str">
            <v>FERNANDEZ ROMERO LUIS ALFREDO</v>
          </cell>
        </row>
        <row r="192">
          <cell r="A192">
            <v>13568006</v>
          </cell>
          <cell r="B192" t="str">
            <v>CO</v>
          </cell>
          <cell r="C192" t="str">
            <v>MORENO NUÑEZ HORACIO</v>
          </cell>
        </row>
        <row r="193">
          <cell r="A193">
            <v>13568158</v>
          </cell>
          <cell r="B193" t="str">
            <v>CO</v>
          </cell>
          <cell r="C193" t="str">
            <v>TAMARA BLANCO NICOLAS EDUARDO</v>
          </cell>
        </row>
        <row r="194">
          <cell r="A194">
            <v>13568513</v>
          </cell>
          <cell r="B194" t="str">
            <v>CO</v>
          </cell>
          <cell r="C194" t="str">
            <v>TORRES MONCADA HUGO ANDRES</v>
          </cell>
        </row>
        <row r="195">
          <cell r="A195">
            <v>13569223</v>
          </cell>
          <cell r="B195" t="str">
            <v>CO</v>
          </cell>
          <cell r="C195" t="str">
            <v>JEYMAR EDUARDO BADILLO LOPEZ</v>
          </cell>
        </row>
        <row r="196">
          <cell r="A196">
            <v>13570369</v>
          </cell>
          <cell r="B196" t="str">
            <v>CO</v>
          </cell>
          <cell r="C196" t="str">
            <v>SERRANO RAMIREZ LEONARDO</v>
          </cell>
        </row>
        <row r="197">
          <cell r="A197">
            <v>13571319</v>
          </cell>
          <cell r="B197" t="str">
            <v>CO</v>
          </cell>
          <cell r="C197" t="str">
            <v>ORDOÑEZ CHOGO EDWIN</v>
          </cell>
        </row>
        <row r="198">
          <cell r="A198">
            <v>13637993</v>
          </cell>
          <cell r="B198" t="str">
            <v>CO</v>
          </cell>
          <cell r="C198" t="str">
            <v>BARRAGAN BARRAGAN OMAR DARIO</v>
          </cell>
        </row>
        <row r="199">
          <cell r="A199">
            <v>13641114</v>
          </cell>
          <cell r="B199" t="str">
            <v>CO</v>
          </cell>
          <cell r="C199" t="str">
            <v>VALENCIA AYALA JUAN BAUTISTA</v>
          </cell>
        </row>
        <row r="200">
          <cell r="A200">
            <v>13644544</v>
          </cell>
          <cell r="B200" t="str">
            <v>CO</v>
          </cell>
          <cell r="C200" t="str">
            <v>TOLEDO GOMEZ LUIS AMBROSIO</v>
          </cell>
        </row>
        <row r="201">
          <cell r="A201">
            <v>13715395</v>
          </cell>
          <cell r="B201" t="str">
            <v>CO</v>
          </cell>
          <cell r="C201" t="str">
            <v>CIPAGAUTA ACOSTA JULIO CESAR</v>
          </cell>
        </row>
        <row r="202">
          <cell r="A202">
            <v>13716185</v>
          </cell>
          <cell r="B202" t="str">
            <v>CO</v>
          </cell>
          <cell r="C202" t="str">
            <v>REYES FIGUEROA MARLON ALFONSO</v>
          </cell>
        </row>
        <row r="203">
          <cell r="A203">
            <v>13716890</v>
          </cell>
          <cell r="B203" t="str">
            <v>CO</v>
          </cell>
          <cell r="C203" t="str">
            <v>CASTRO MEJIA VICTOR RAUL</v>
          </cell>
        </row>
        <row r="204">
          <cell r="A204">
            <v>13719277</v>
          </cell>
          <cell r="B204" t="str">
            <v>CO</v>
          </cell>
          <cell r="C204" t="str">
            <v>MARTINEZ RUEDA JUAN PABLO</v>
          </cell>
        </row>
        <row r="205">
          <cell r="A205">
            <v>13723146</v>
          </cell>
          <cell r="B205" t="str">
            <v>CO</v>
          </cell>
          <cell r="C205" t="str">
            <v>JORGE ORTIZ PARADA</v>
          </cell>
        </row>
        <row r="206">
          <cell r="A206">
            <v>13724359</v>
          </cell>
          <cell r="B206" t="str">
            <v>CO</v>
          </cell>
          <cell r="C206" t="str">
            <v>PINTO TRIANA WILLIAM JESUS</v>
          </cell>
        </row>
        <row r="207">
          <cell r="A207">
            <v>13724407</v>
          </cell>
          <cell r="B207" t="str">
            <v>CO</v>
          </cell>
          <cell r="C207" t="str">
            <v>PEÑA GALVIS OMAR LEONARDO</v>
          </cell>
        </row>
        <row r="208">
          <cell r="A208">
            <v>13744866</v>
          </cell>
          <cell r="B208" t="str">
            <v>CO</v>
          </cell>
          <cell r="C208" t="str">
            <v>SANCHEZ CHAVARRO DAVID</v>
          </cell>
        </row>
        <row r="209">
          <cell r="A209">
            <v>13749430</v>
          </cell>
          <cell r="B209" t="str">
            <v>CO</v>
          </cell>
          <cell r="C209" t="str">
            <v>PACHECO ROJAS DARWIN</v>
          </cell>
        </row>
        <row r="210">
          <cell r="A210">
            <v>13811601</v>
          </cell>
          <cell r="B210" t="str">
            <v>CO</v>
          </cell>
          <cell r="C210" t="str">
            <v>GERMAN DURAN RAMIREZ</v>
          </cell>
        </row>
        <row r="211">
          <cell r="A211">
            <v>13830107</v>
          </cell>
          <cell r="B211" t="str">
            <v>CO</v>
          </cell>
          <cell r="C211" t="str">
            <v>GARCIA NEIRA FELIX ENRIQUE</v>
          </cell>
        </row>
        <row r="212">
          <cell r="A212">
            <v>13833985</v>
          </cell>
          <cell r="B212" t="str">
            <v>CO</v>
          </cell>
          <cell r="C212" t="str">
            <v>HELI HUMBERTO MADERA ARIZA</v>
          </cell>
        </row>
        <row r="213">
          <cell r="A213">
            <v>13834363</v>
          </cell>
          <cell r="B213" t="str">
            <v>CO</v>
          </cell>
          <cell r="C213" t="str">
            <v>DURAN GOMEZ EDUARDO</v>
          </cell>
        </row>
        <row r="214">
          <cell r="A214">
            <v>13846918</v>
          </cell>
          <cell r="B214" t="str">
            <v>CO</v>
          </cell>
          <cell r="C214" t="str">
            <v>HERRERA VILLABONA HERNANDO</v>
          </cell>
        </row>
        <row r="215">
          <cell r="A215">
            <v>13852309</v>
          </cell>
          <cell r="B215" t="str">
            <v>CO</v>
          </cell>
          <cell r="C215" t="str">
            <v>ROMERO TARRIBA ELKIN</v>
          </cell>
        </row>
        <row r="216">
          <cell r="A216">
            <v>13852757</v>
          </cell>
          <cell r="B216" t="str">
            <v>CO</v>
          </cell>
          <cell r="C216" t="str">
            <v>LASCARRO BARRIOS WILFREDO</v>
          </cell>
        </row>
        <row r="217">
          <cell r="A217">
            <v>13853049</v>
          </cell>
          <cell r="B217" t="str">
            <v>CO</v>
          </cell>
          <cell r="C217" t="str">
            <v>FUENTES PEÑALOZA DODANIS</v>
          </cell>
        </row>
        <row r="218">
          <cell r="A218">
            <v>13872391</v>
          </cell>
          <cell r="B218" t="str">
            <v>CO</v>
          </cell>
          <cell r="C218" t="str">
            <v>MARTINEZ RUEDA JESUS</v>
          </cell>
        </row>
        <row r="219">
          <cell r="A219">
            <v>13878042</v>
          </cell>
          <cell r="B219" t="str">
            <v>CO</v>
          </cell>
          <cell r="C219" t="str">
            <v>GUARIN PICO VICENTE</v>
          </cell>
        </row>
        <row r="220">
          <cell r="A220">
            <v>13879584</v>
          </cell>
          <cell r="B220" t="str">
            <v>CO</v>
          </cell>
          <cell r="C220" t="str">
            <v>ROMERO GONZALEZ JUSTINIANO</v>
          </cell>
        </row>
        <row r="221">
          <cell r="A221">
            <v>13880852</v>
          </cell>
          <cell r="B221" t="str">
            <v>CO</v>
          </cell>
          <cell r="C221" t="str">
            <v>ZAPATA VALENCIA JESUS ANTONIO</v>
          </cell>
        </row>
        <row r="222">
          <cell r="A222">
            <v>13881560</v>
          </cell>
          <cell r="B222" t="str">
            <v>CO</v>
          </cell>
          <cell r="C222" t="str">
            <v>HELI CALA CRISTANCHO</v>
          </cell>
        </row>
        <row r="223">
          <cell r="A223">
            <v>13883985</v>
          </cell>
          <cell r="B223" t="str">
            <v>CO</v>
          </cell>
          <cell r="C223" t="str">
            <v>MADERA ARIZA HELI HUMBERTO</v>
          </cell>
        </row>
        <row r="224">
          <cell r="A224">
            <v>13884680</v>
          </cell>
          <cell r="B224" t="str">
            <v>CO</v>
          </cell>
          <cell r="C224" t="str">
            <v>AYALA CALDERON ANTONIO</v>
          </cell>
        </row>
        <row r="225">
          <cell r="A225">
            <v>13884704</v>
          </cell>
          <cell r="B225" t="str">
            <v>CO</v>
          </cell>
          <cell r="C225" t="str">
            <v>NELSON DOMINGUEZ CORREA</v>
          </cell>
        </row>
        <row r="226">
          <cell r="A226">
            <v>13884749</v>
          </cell>
          <cell r="B226" t="str">
            <v>CO</v>
          </cell>
          <cell r="C226" t="str">
            <v>ARTURO BALLESTEROS JIMENEZ</v>
          </cell>
        </row>
        <row r="227">
          <cell r="A227">
            <v>13885300</v>
          </cell>
          <cell r="B227" t="str">
            <v>CO</v>
          </cell>
          <cell r="C227" t="str">
            <v>RUEDA TRIANA RICARDO</v>
          </cell>
        </row>
        <row r="228">
          <cell r="A228">
            <v>13885555</v>
          </cell>
          <cell r="B228" t="str">
            <v>CO</v>
          </cell>
          <cell r="C228" t="str">
            <v>ALIRIO CRISTANCHO RINCON</v>
          </cell>
        </row>
        <row r="229">
          <cell r="A229">
            <v>13886596</v>
          </cell>
          <cell r="B229" t="str">
            <v>CO</v>
          </cell>
          <cell r="C229" t="str">
            <v>BAUTISTA RAMIRO</v>
          </cell>
        </row>
        <row r="230">
          <cell r="A230">
            <v>13887038</v>
          </cell>
          <cell r="B230" t="str">
            <v>CO</v>
          </cell>
          <cell r="C230" t="str">
            <v>FREDY VEGA DEVIA</v>
          </cell>
        </row>
        <row r="231">
          <cell r="A231">
            <v>13887445</v>
          </cell>
          <cell r="B231" t="str">
            <v>CO</v>
          </cell>
          <cell r="C231" t="str">
            <v>GUTIERREZ ALVAREZ WILLIAM</v>
          </cell>
        </row>
        <row r="232">
          <cell r="A232">
            <v>13889007</v>
          </cell>
          <cell r="B232" t="str">
            <v>CO</v>
          </cell>
          <cell r="C232" t="str">
            <v>VIANA OVIEDO VICTOR JAIME</v>
          </cell>
        </row>
        <row r="233">
          <cell r="A233">
            <v>13890477</v>
          </cell>
          <cell r="B233" t="str">
            <v>CO</v>
          </cell>
          <cell r="C233" t="str">
            <v>ALVAREZ MANTILLA JAIME</v>
          </cell>
        </row>
        <row r="234">
          <cell r="A234">
            <v>13890511</v>
          </cell>
          <cell r="B234" t="str">
            <v>CO</v>
          </cell>
          <cell r="C234" t="str">
            <v>GIOVANNI ABBE OLIVEROS PACHECO</v>
          </cell>
        </row>
        <row r="235">
          <cell r="A235">
            <v>13890788</v>
          </cell>
          <cell r="B235" t="str">
            <v>CO</v>
          </cell>
          <cell r="C235" t="str">
            <v>RICAURTE HEREDIA AMAYA</v>
          </cell>
        </row>
        <row r="236">
          <cell r="A236">
            <v>13890799</v>
          </cell>
          <cell r="B236" t="str">
            <v>CO</v>
          </cell>
          <cell r="C236" t="str">
            <v>PEÑALOZA CASTRO HERNAN</v>
          </cell>
        </row>
        <row r="237">
          <cell r="A237">
            <v>13893197</v>
          </cell>
          <cell r="B237" t="str">
            <v>CO</v>
          </cell>
          <cell r="C237" t="str">
            <v>HERMENS GUILLERMO CORENA FLOREZ</v>
          </cell>
        </row>
        <row r="238">
          <cell r="A238">
            <v>13893805</v>
          </cell>
          <cell r="B238" t="str">
            <v>CO</v>
          </cell>
          <cell r="C238" t="str">
            <v>ANTONIO MARIA PINZON SANTOS</v>
          </cell>
        </row>
        <row r="239">
          <cell r="A239">
            <v>13894571</v>
          </cell>
          <cell r="B239" t="str">
            <v>CO</v>
          </cell>
          <cell r="C239" t="str">
            <v>HORACIO VILLAMIZAR RUEDA</v>
          </cell>
        </row>
        <row r="240">
          <cell r="A240">
            <v>13922458</v>
          </cell>
          <cell r="B240" t="str">
            <v>CO</v>
          </cell>
          <cell r="C240" t="str">
            <v>PEDRO MARIN MARTINEZ ROA</v>
          </cell>
        </row>
        <row r="241">
          <cell r="A241">
            <v>14190097</v>
          </cell>
          <cell r="B241" t="str">
            <v>CO</v>
          </cell>
          <cell r="C241" t="str">
            <v>BLANDON PEÑALOZA RUPERTO</v>
          </cell>
        </row>
        <row r="242">
          <cell r="A242">
            <v>14219198</v>
          </cell>
          <cell r="B242" t="str">
            <v>CO</v>
          </cell>
          <cell r="C242" t="str">
            <v>MORALES GUZMAN JOSE JAMIR</v>
          </cell>
        </row>
        <row r="243">
          <cell r="A243">
            <v>14230975</v>
          </cell>
          <cell r="B243" t="str">
            <v>CO</v>
          </cell>
          <cell r="C243" t="str">
            <v>VARGAS HELMER</v>
          </cell>
        </row>
        <row r="244">
          <cell r="A244">
            <v>14249831</v>
          </cell>
          <cell r="B244" t="str">
            <v>CO</v>
          </cell>
          <cell r="C244" t="str">
            <v>BOSA GUALTERO OLIMPO</v>
          </cell>
        </row>
        <row r="245">
          <cell r="A245">
            <v>14271573</v>
          </cell>
          <cell r="B245" t="str">
            <v>CO</v>
          </cell>
          <cell r="C245" t="str">
            <v>ORTIZ SERRANO ELISEO</v>
          </cell>
        </row>
        <row r="246">
          <cell r="A246">
            <v>14318772</v>
          </cell>
          <cell r="B246" t="str">
            <v>CO</v>
          </cell>
          <cell r="C246" t="str">
            <v>JOSE ALFONSO POLANCO LEON</v>
          </cell>
        </row>
        <row r="247">
          <cell r="A247">
            <v>14477939</v>
          </cell>
          <cell r="B247" t="str">
            <v>CO</v>
          </cell>
          <cell r="C247" t="str">
            <v>JUAN CAMILO MOSQUERA ALVAREZ</v>
          </cell>
        </row>
        <row r="248">
          <cell r="A248">
            <v>14897397</v>
          </cell>
          <cell r="B248" t="str">
            <v>CO</v>
          </cell>
          <cell r="C248" t="str">
            <v>VARGAS CUADROS CARLO ALEXANDER</v>
          </cell>
        </row>
        <row r="249">
          <cell r="A249">
            <v>15041315</v>
          </cell>
          <cell r="B249" t="str">
            <v>CO</v>
          </cell>
          <cell r="C249" t="str">
            <v>RAMIREZ CARDENAS EDWIN RAFAEL</v>
          </cell>
        </row>
        <row r="250">
          <cell r="A250">
            <v>15050847</v>
          </cell>
          <cell r="B250" t="str">
            <v>CO</v>
          </cell>
          <cell r="C250" t="str">
            <v>FRANCISCO MANUEL NAVARRO RAMOS</v>
          </cell>
        </row>
        <row r="251">
          <cell r="A251">
            <v>15252525</v>
          </cell>
          <cell r="B251" t="str">
            <v>CO</v>
          </cell>
          <cell r="C251" t="str">
            <v>CARLOS RAUL GARCIA ECHEVERRI</v>
          </cell>
        </row>
        <row r="252">
          <cell r="A252">
            <v>15325882</v>
          </cell>
          <cell r="B252" t="str">
            <v>CO</v>
          </cell>
          <cell r="C252" t="str">
            <v>GIL RUIZ OSCAR ALBERTO</v>
          </cell>
        </row>
        <row r="253">
          <cell r="A253">
            <v>15424600</v>
          </cell>
          <cell r="B253" t="str">
            <v>CO</v>
          </cell>
          <cell r="C253" t="str">
            <v>GIRALDO SANCHEZ GULLERMO DE JESUS</v>
          </cell>
        </row>
        <row r="254">
          <cell r="A254">
            <v>15429469</v>
          </cell>
          <cell r="B254" t="str">
            <v>CO</v>
          </cell>
          <cell r="C254" t="str">
            <v>BOTERO ALZATE JULIO CESAR</v>
          </cell>
        </row>
        <row r="255">
          <cell r="A255">
            <v>15452340</v>
          </cell>
          <cell r="B255" t="str">
            <v>CO</v>
          </cell>
          <cell r="C255" t="str">
            <v>CARDENAS CARPIO WILFRAN</v>
          </cell>
        </row>
        <row r="256">
          <cell r="A256">
            <v>15582893</v>
          </cell>
          <cell r="B256" t="str">
            <v>CO</v>
          </cell>
          <cell r="C256" t="str">
            <v>CARREÑO WILLIAM</v>
          </cell>
        </row>
        <row r="257">
          <cell r="A257">
            <v>15624651</v>
          </cell>
          <cell r="B257" t="str">
            <v>CO</v>
          </cell>
          <cell r="C257" t="str">
            <v>LUZARDO DARWIN</v>
          </cell>
        </row>
        <row r="258">
          <cell r="A258">
            <v>15681861</v>
          </cell>
          <cell r="B258" t="str">
            <v>CO</v>
          </cell>
          <cell r="C258" t="str">
            <v>GONZALES RUBIO GONZALO</v>
          </cell>
        </row>
        <row r="259">
          <cell r="A259">
            <v>16050904</v>
          </cell>
          <cell r="B259" t="str">
            <v>CO</v>
          </cell>
          <cell r="C259" t="str">
            <v>MANRIQUE GOMEZ DANIEL</v>
          </cell>
        </row>
        <row r="260">
          <cell r="A260">
            <v>16112524</v>
          </cell>
          <cell r="B260" t="str">
            <v>CO</v>
          </cell>
          <cell r="C260" t="str">
            <v>LOPEZ CLAVIJO HENRY ALONSO</v>
          </cell>
        </row>
        <row r="261">
          <cell r="A261">
            <v>16114413</v>
          </cell>
          <cell r="B261" t="str">
            <v>CO</v>
          </cell>
          <cell r="C261" t="str">
            <v>LOPEZ CLAVIJO FREDY</v>
          </cell>
        </row>
        <row r="262">
          <cell r="A262">
            <v>16218190</v>
          </cell>
          <cell r="B262" t="str">
            <v>CO</v>
          </cell>
          <cell r="C262" t="str">
            <v>HUMBERTO DE JESUS AGUDELO</v>
          </cell>
        </row>
        <row r="263">
          <cell r="A263">
            <v>16280037</v>
          </cell>
          <cell r="B263" t="str">
            <v>CO</v>
          </cell>
          <cell r="C263" t="str">
            <v>ENRIQUE CORREA GARCIA</v>
          </cell>
        </row>
        <row r="264">
          <cell r="A264">
            <v>16535890</v>
          </cell>
          <cell r="B264" t="str">
            <v>CO</v>
          </cell>
          <cell r="C264" t="str">
            <v>MAMIAN LOPEZ JOSE LUIS</v>
          </cell>
        </row>
        <row r="265">
          <cell r="A265">
            <v>16613132</v>
          </cell>
          <cell r="B265" t="str">
            <v>CO</v>
          </cell>
          <cell r="C265" t="str">
            <v>OSPINA ESPITIA ALVARO</v>
          </cell>
        </row>
        <row r="266">
          <cell r="A266">
            <v>16690322</v>
          </cell>
          <cell r="B266" t="str">
            <v>CO</v>
          </cell>
          <cell r="C266" t="str">
            <v>VASQUEZ VALLES GABRIEL</v>
          </cell>
        </row>
        <row r="267">
          <cell r="A267">
            <v>17086610</v>
          </cell>
          <cell r="B267" t="str">
            <v>CO</v>
          </cell>
          <cell r="C267" t="str">
            <v>MOLINA RIVERO GUILLERMO</v>
          </cell>
        </row>
        <row r="268">
          <cell r="A268">
            <v>17090538</v>
          </cell>
          <cell r="B268" t="str">
            <v>CO</v>
          </cell>
          <cell r="C268" t="str">
            <v>URIBE VELEZ CARLOS NICOLAS</v>
          </cell>
        </row>
        <row r="269">
          <cell r="A269">
            <v>17093842</v>
          </cell>
          <cell r="B269" t="str">
            <v>CO</v>
          </cell>
          <cell r="C269" t="str">
            <v>BERMUDEZ PERILLA PEDRO PABLO</v>
          </cell>
        </row>
        <row r="270">
          <cell r="A270">
            <v>17107243</v>
          </cell>
          <cell r="B270" t="str">
            <v>CO</v>
          </cell>
          <cell r="C270" t="str">
            <v>CARDENAS NIÑO DIEGO HERNAN</v>
          </cell>
        </row>
        <row r="271">
          <cell r="A271">
            <v>17146359</v>
          </cell>
          <cell r="B271" t="str">
            <v>CO</v>
          </cell>
          <cell r="C271" t="str">
            <v>CARLOS ALBERTO HUERTAS</v>
          </cell>
        </row>
        <row r="272">
          <cell r="A272">
            <v>17157596</v>
          </cell>
          <cell r="B272" t="str">
            <v>CO</v>
          </cell>
          <cell r="C272" t="str">
            <v>TELLEZ FONNEGRA HECTOR</v>
          </cell>
        </row>
        <row r="273">
          <cell r="A273">
            <v>17164014</v>
          </cell>
          <cell r="B273" t="str">
            <v>CO</v>
          </cell>
          <cell r="C273" t="str">
            <v>ESCOBAR RIVEROS MIGUEL ANGEL</v>
          </cell>
        </row>
        <row r="274">
          <cell r="A274">
            <v>17187959</v>
          </cell>
          <cell r="B274" t="str">
            <v>CO</v>
          </cell>
          <cell r="C274" t="str">
            <v>RIOS ROMERO JULIO</v>
          </cell>
        </row>
        <row r="275">
          <cell r="A275">
            <v>17189061</v>
          </cell>
          <cell r="B275" t="str">
            <v>CO</v>
          </cell>
          <cell r="C275" t="str">
            <v>CUELLAR BOTERO MILCIADES</v>
          </cell>
        </row>
        <row r="276">
          <cell r="A276">
            <v>17195610</v>
          </cell>
          <cell r="B276" t="str">
            <v>CO</v>
          </cell>
          <cell r="C276" t="str">
            <v>PERALTA FABIO</v>
          </cell>
        </row>
        <row r="277">
          <cell r="A277">
            <v>17300823</v>
          </cell>
          <cell r="B277" t="str">
            <v>CO</v>
          </cell>
          <cell r="C277" t="str">
            <v>MARQUEZ ALDANA ALEXANDER</v>
          </cell>
        </row>
        <row r="278">
          <cell r="A278">
            <v>17306113</v>
          </cell>
          <cell r="B278" t="str">
            <v>CO</v>
          </cell>
          <cell r="C278" t="str">
            <v>ALVAREZ ARIAS ROBERTO EMILIO</v>
          </cell>
        </row>
        <row r="279">
          <cell r="A279">
            <v>17311124</v>
          </cell>
          <cell r="B279" t="str">
            <v>CO</v>
          </cell>
          <cell r="C279" t="str">
            <v>PARRADO QUINTERO JOSE MAURICIO</v>
          </cell>
        </row>
        <row r="280">
          <cell r="A280">
            <v>17313178</v>
          </cell>
          <cell r="B280" t="str">
            <v>CO</v>
          </cell>
          <cell r="C280" t="str">
            <v>CORREA JARAMILLO JOSE DOLORES</v>
          </cell>
        </row>
        <row r="281">
          <cell r="A281">
            <v>17323550</v>
          </cell>
          <cell r="B281" t="str">
            <v>CO</v>
          </cell>
          <cell r="C281" t="str">
            <v>GALINDO BETANCOURT MIGUEL ANTONIO</v>
          </cell>
        </row>
        <row r="282">
          <cell r="A282">
            <v>17324154</v>
          </cell>
          <cell r="B282" t="str">
            <v>CO</v>
          </cell>
          <cell r="C282" t="str">
            <v>ROGELIO MUÑOZ</v>
          </cell>
        </row>
        <row r="283">
          <cell r="A283">
            <v>17326674</v>
          </cell>
          <cell r="B283" t="str">
            <v>CO</v>
          </cell>
          <cell r="C283" t="str">
            <v>MELO TORRES VLADIMIR</v>
          </cell>
        </row>
        <row r="284">
          <cell r="A284">
            <v>17329926</v>
          </cell>
          <cell r="B284" t="str">
            <v>CO</v>
          </cell>
          <cell r="C284" t="str">
            <v>DIAZ JAIME</v>
          </cell>
        </row>
        <row r="285">
          <cell r="A285">
            <v>17330734</v>
          </cell>
          <cell r="B285" t="str">
            <v>CO</v>
          </cell>
          <cell r="C285" t="str">
            <v>OSCAR YESID TORRES</v>
          </cell>
        </row>
        <row r="286">
          <cell r="A286">
            <v>17332467</v>
          </cell>
          <cell r="B286" t="str">
            <v>CO</v>
          </cell>
          <cell r="C286" t="str">
            <v>MURCIA RODRIGGUEZ MURCIA</v>
          </cell>
        </row>
        <row r="287">
          <cell r="A287">
            <v>17333293</v>
          </cell>
          <cell r="B287" t="str">
            <v>CO</v>
          </cell>
          <cell r="C287" t="str">
            <v>REINOSO MANUEL</v>
          </cell>
        </row>
        <row r="288">
          <cell r="A288">
            <v>17335622</v>
          </cell>
          <cell r="B288" t="str">
            <v>CO</v>
          </cell>
          <cell r="C288" t="str">
            <v>CARRERO RAMIREZ FREY</v>
          </cell>
        </row>
        <row r="289">
          <cell r="A289">
            <v>17338086</v>
          </cell>
          <cell r="B289" t="str">
            <v>CO</v>
          </cell>
          <cell r="C289" t="str">
            <v>CASTILLO NIETO WILSON ERNESTO</v>
          </cell>
        </row>
        <row r="290">
          <cell r="A290">
            <v>17339971</v>
          </cell>
          <cell r="B290" t="str">
            <v>CO</v>
          </cell>
          <cell r="C290" t="str">
            <v>PALACIO GONZALEZ RUBEN DARIO</v>
          </cell>
        </row>
        <row r="291">
          <cell r="A291">
            <v>17348364</v>
          </cell>
          <cell r="B291" t="str">
            <v>CO</v>
          </cell>
          <cell r="C291" t="str">
            <v>EBER GUTIERREZ LEON</v>
          </cell>
        </row>
        <row r="292">
          <cell r="A292">
            <v>17349448</v>
          </cell>
          <cell r="B292" t="str">
            <v>CO</v>
          </cell>
          <cell r="C292" t="str">
            <v>CUBIDES ABRIL ALVARO</v>
          </cell>
        </row>
        <row r="293">
          <cell r="A293">
            <v>17388811</v>
          </cell>
          <cell r="B293" t="str">
            <v>CO</v>
          </cell>
          <cell r="C293" t="str">
            <v>NELSON ENRIQUE GUTIERREZ TURRIAGO</v>
          </cell>
        </row>
        <row r="294">
          <cell r="A294">
            <v>17390018</v>
          </cell>
          <cell r="B294" t="str">
            <v>CO</v>
          </cell>
          <cell r="C294" t="str">
            <v>BETANCOURT RINCON JAVIER ALBERTO</v>
          </cell>
        </row>
        <row r="295">
          <cell r="A295">
            <v>17446512</v>
          </cell>
          <cell r="B295" t="str">
            <v>CO</v>
          </cell>
          <cell r="C295" t="str">
            <v>TORRES MARTINEZ ANGEL ALBERTO</v>
          </cell>
        </row>
        <row r="296">
          <cell r="A296">
            <v>17548570</v>
          </cell>
          <cell r="B296" t="str">
            <v>CO</v>
          </cell>
          <cell r="C296" t="str">
            <v>CACERES FUENTES JOSUE JAVIER</v>
          </cell>
        </row>
        <row r="297">
          <cell r="A297">
            <v>17588741</v>
          </cell>
          <cell r="B297" t="str">
            <v>CO</v>
          </cell>
          <cell r="C297" t="str">
            <v>ROBAYO BUITRAGO MARIO ALEXANDER</v>
          </cell>
        </row>
        <row r="298">
          <cell r="A298">
            <v>17593686</v>
          </cell>
          <cell r="B298" t="str">
            <v>CO</v>
          </cell>
          <cell r="C298" t="str">
            <v>CARDENAS SALAZAR WILMER JOSE</v>
          </cell>
        </row>
        <row r="299">
          <cell r="A299">
            <v>17627950</v>
          </cell>
          <cell r="B299" t="str">
            <v>CO</v>
          </cell>
          <cell r="C299" t="str">
            <v>ORLANDO BONILLA CASTELLANOS</v>
          </cell>
        </row>
        <row r="300">
          <cell r="A300">
            <v>17667647</v>
          </cell>
          <cell r="B300" t="str">
            <v>CO</v>
          </cell>
          <cell r="C300" t="str">
            <v>PIRABAN VALBUENA LUIS FERNANDO</v>
          </cell>
        </row>
        <row r="301">
          <cell r="A301">
            <v>17784353</v>
          </cell>
          <cell r="B301" t="str">
            <v>CO</v>
          </cell>
          <cell r="C301" t="str">
            <v>GARCIA GALINDO MARIO</v>
          </cell>
        </row>
        <row r="302">
          <cell r="A302">
            <v>18393185</v>
          </cell>
          <cell r="B302" t="str">
            <v>CO</v>
          </cell>
          <cell r="C302" t="str">
            <v>TAMAYO LOPERA YHON ROBINSON</v>
          </cell>
        </row>
        <row r="303">
          <cell r="A303">
            <v>18399717</v>
          </cell>
          <cell r="B303" t="str">
            <v>CO</v>
          </cell>
          <cell r="C303" t="str">
            <v>MUÑOZ COLORADO JULIAN ANDRES</v>
          </cell>
        </row>
        <row r="304">
          <cell r="A304">
            <v>18912520</v>
          </cell>
          <cell r="B304" t="str">
            <v>CO</v>
          </cell>
          <cell r="C304" t="str">
            <v>TEMILSON MARTINEZ RUIZ</v>
          </cell>
        </row>
        <row r="305">
          <cell r="A305">
            <v>19058001</v>
          </cell>
          <cell r="B305" t="str">
            <v>CO</v>
          </cell>
          <cell r="C305" t="str">
            <v>FAJARDO HECTOR GILMAYER</v>
          </cell>
        </row>
        <row r="306">
          <cell r="A306">
            <v>19067072</v>
          </cell>
          <cell r="B306" t="str">
            <v>CO</v>
          </cell>
          <cell r="C306" t="str">
            <v>RUBIO AGUILAR JORGE ENRIQUE</v>
          </cell>
        </row>
        <row r="307">
          <cell r="A307">
            <v>19080205</v>
          </cell>
          <cell r="B307" t="str">
            <v>CO</v>
          </cell>
          <cell r="C307" t="str">
            <v>SANTIAGO RODRIGO ARANGO CORTES</v>
          </cell>
        </row>
        <row r="308">
          <cell r="A308">
            <v>19083327</v>
          </cell>
          <cell r="B308" t="str">
            <v>CO</v>
          </cell>
          <cell r="C308" t="str">
            <v>WILLY VALEK MORA</v>
          </cell>
        </row>
        <row r="309">
          <cell r="A309">
            <v>19085793</v>
          </cell>
          <cell r="B309" t="str">
            <v>CO</v>
          </cell>
          <cell r="C309" t="str">
            <v>ECHAVARRIA JAIMES ALVARO</v>
          </cell>
        </row>
        <row r="310">
          <cell r="A310">
            <v>19118256</v>
          </cell>
          <cell r="B310" t="str">
            <v>CO</v>
          </cell>
          <cell r="C310" t="str">
            <v>AMAYA CARLOS</v>
          </cell>
        </row>
        <row r="311">
          <cell r="A311">
            <v>19124661</v>
          </cell>
          <cell r="B311" t="str">
            <v>CO</v>
          </cell>
          <cell r="C311" t="str">
            <v>TORRES GIL JOSE RAMON</v>
          </cell>
        </row>
        <row r="312">
          <cell r="A312">
            <v>19130257</v>
          </cell>
          <cell r="B312" t="str">
            <v>CO</v>
          </cell>
          <cell r="C312" t="str">
            <v>CATUMBA LUIS ALBERTO</v>
          </cell>
        </row>
        <row r="313">
          <cell r="A313">
            <v>19132605</v>
          </cell>
          <cell r="B313" t="str">
            <v>CO</v>
          </cell>
          <cell r="C313" t="str">
            <v>PULIDO LUIS ALFONSO</v>
          </cell>
        </row>
        <row r="314">
          <cell r="A314">
            <v>19158562</v>
          </cell>
          <cell r="B314" t="str">
            <v>CO</v>
          </cell>
          <cell r="C314" t="str">
            <v>SANCHEZ CHAVES MANUEL ALBERTO</v>
          </cell>
        </row>
        <row r="315">
          <cell r="A315">
            <v>19163849</v>
          </cell>
          <cell r="B315" t="str">
            <v>CO</v>
          </cell>
          <cell r="C315" t="str">
            <v>JORGE MOJICA</v>
          </cell>
        </row>
        <row r="316">
          <cell r="A316">
            <v>19166895</v>
          </cell>
          <cell r="B316" t="str">
            <v>CO</v>
          </cell>
          <cell r="C316" t="str">
            <v>RESTREPO JORGE BERMUDEZ</v>
          </cell>
        </row>
        <row r="317">
          <cell r="A317">
            <v>19172276</v>
          </cell>
          <cell r="B317" t="str">
            <v>CO</v>
          </cell>
          <cell r="C317" t="str">
            <v>KLEMAS VALINEVICIUS LIUDAS</v>
          </cell>
        </row>
        <row r="318">
          <cell r="A318">
            <v>19193973</v>
          </cell>
          <cell r="B318" t="str">
            <v>CO</v>
          </cell>
          <cell r="C318" t="str">
            <v>MORENO BELTRAN JUAN MANUEL</v>
          </cell>
        </row>
        <row r="319">
          <cell r="A319">
            <v>19199290</v>
          </cell>
          <cell r="B319" t="str">
            <v>CO</v>
          </cell>
          <cell r="C319" t="str">
            <v>QUINTERO LA TORRE LUIS EDUARDO</v>
          </cell>
        </row>
        <row r="320">
          <cell r="A320">
            <v>19207163</v>
          </cell>
          <cell r="B320" t="str">
            <v>CO</v>
          </cell>
          <cell r="C320" t="str">
            <v>DAZA VEGA LUIS ENRIQUE</v>
          </cell>
        </row>
        <row r="321">
          <cell r="A321">
            <v>19226001</v>
          </cell>
          <cell r="B321" t="str">
            <v>CO</v>
          </cell>
          <cell r="C321" t="str">
            <v>GUTIERREZ BALLESTEROS ALBEIRO</v>
          </cell>
        </row>
        <row r="322">
          <cell r="A322">
            <v>19255154</v>
          </cell>
          <cell r="B322" t="str">
            <v>CO</v>
          </cell>
          <cell r="C322" t="str">
            <v>MANJARRES MUNOZ HECTOR ALFONSO</v>
          </cell>
        </row>
        <row r="323">
          <cell r="A323">
            <v>19256958</v>
          </cell>
          <cell r="B323" t="str">
            <v>CO</v>
          </cell>
          <cell r="C323" t="str">
            <v>GARZON CUERVO CARLOS FERNANDO</v>
          </cell>
        </row>
        <row r="324">
          <cell r="A324">
            <v>19269904</v>
          </cell>
          <cell r="B324" t="str">
            <v>CO</v>
          </cell>
          <cell r="C324" t="str">
            <v>PATIÑO OSPINA ORLANDO</v>
          </cell>
        </row>
        <row r="325">
          <cell r="A325">
            <v>19270271</v>
          </cell>
          <cell r="B325" t="str">
            <v>CO</v>
          </cell>
          <cell r="C325" t="str">
            <v>CERON MENDEZ EDGAR</v>
          </cell>
        </row>
        <row r="326">
          <cell r="A326">
            <v>19276710</v>
          </cell>
          <cell r="B326" t="str">
            <v>CO</v>
          </cell>
          <cell r="C326" t="str">
            <v>DELIO CESPEDES ESPINOSA</v>
          </cell>
        </row>
        <row r="327">
          <cell r="A327">
            <v>19279385</v>
          </cell>
          <cell r="B327" t="str">
            <v>CO</v>
          </cell>
          <cell r="C327" t="str">
            <v>VARGAS BUITRAGO GABRIEL</v>
          </cell>
        </row>
        <row r="328">
          <cell r="A328">
            <v>19288510</v>
          </cell>
          <cell r="B328" t="str">
            <v>CO</v>
          </cell>
          <cell r="C328" t="str">
            <v>SATIZABAL RAMIREZ RODRIGO MARCELO</v>
          </cell>
        </row>
        <row r="329">
          <cell r="A329">
            <v>19297333</v>
          </cell>
          <cell r="B329" t="str">
            <v>CO</v>
          </cell>
          <cell r="C329" t="str">
            <v>PULIDO ESCALANTE JAIME ALBERTO</v>
          </cell>
        </row>
        <row r="330">
          <cell r="A330">
            <v>19308324</v>
          </cell>
          <cell r="B330" t="str">
            <v>CO</v>
          </cell>
          <cell r="C330" t="str">
            <v>VILLARRAGA FABIO</v>
          </cell>
        </row>
        <row r="331">
          <cell r="A331">
            <v>19317209</v>
          </cell>
          <cell r="B331" t="str">
            <v>CO</v>
          </cell>
          <cell r="C331" t="str">
            <v>SANCHEZ MEDELLIN LUIS EDUARDO</v>
          </cell>
        </row>
        <row r="332">
          <cell r="A332">
            <v>19317470</v>
          </cell>
          <cell r="B332" t="str">
            <v>CO</v>
          </cell>
          <cell r="C332" t="str">
            <v>CAMPO ELIAS MEJIA CASTILLO</v>
          </cell>
        </row>
        <row r="333">
          <cell r="A333">
            <v>19327331</v>
          </cell>
          <cell r="B333" t="str">
            <v>CO</v>
          </cell>
          <cell r="C333" t="str">
            <v>OMAR JAVIER TORRES CAMACHO</v>
          </cell>
        </row>
        <row r="334">
          <cell r="A334">
            <v>19327496</v>
          </cell>
          <cell r="B334" t="str">
            <v>CO</v>
          </cell>
          <cell r="C334" t="str">
            <v>BOGOTA CORTES MARIO RAFAEL</v>
          </cell>
        </row>
        <row r="335">
          <cell r="A335">
            <v>19330284</v>
          </cell>
          <cell r="B335" t="str">
            <v>CO</v>
          </cell>
          <cell r="C335" t="str">
            <v>DANIEL FRANCISCO BAUTISTA ZULUAGA</v>
          </cell>
        </row>
        <row r="336">
          <cell r="A336">
            <v>19341070</v>
          </cell>
          <cell r="B336" t="str">
            <v>CO</v>
          </cell>
          <cell r="C336" t="str">
            <v>PINA LOPEZ LUIS CARLOS</v>
          </cell>
        </row>
        <row r="337">
          <cell r="A337">
            <v>19359460</v>
          </cell>
          <cell r="B337" t="str">
            <v>CO</v>
          </cell>
          <cell r="C337" t="str">
            <v>ROMERO CARVAJAL HENRY HUMBERTO</v>
          </cell>
        </row>
        <row r="338">
          <cell r="A338">
            <v>19365328</v>
          </cell>
          <cell r="B338" t="str">
            <v>CO</v>
          </cell>
          <cell r="C338" t="str">
            <v>OSCAR ANTONIO HERNANDEZ GOMEZ</v>
          </cell>
        </row>
        <row r="339">
          <cell r="A339">
            <v>19366357</v>
          </cell>
          <cell r="B339" t="str">
            <v>CO</v>
          </cell>
          <cell r="C339" t="str">
            <v>SEGUNDO LUIS PEÑA RONCANCIO</v>
          </cell>
        </row>
        <row r="340">
          <cell r="A340">
            <v>19366874</v>
          </cell>
          <cell r="B340" t="str">
            <v>CO</v>
          </cell>
          <cell r="C340" t="str">
            <v>CALDERON BOLIVAR JOSE PASTOR</v>
          </cell>
        </row>
        <row r="341">
          <cell r="A341">
            <v>19381405</v>
          </cell>
          <cell r="B341" t="str">
            <v>CO</v>
          </cell>
          <cell r="C341" t="str">
            <v>MARTINEZ CUELLAR JOSE MARIA</v>
          </cell>
        </row>
        <row r="342">
          <cell r="A342">
            <v>19383801</v>
          </cell>
          <cell r="B342" t="str">
            <v>CO</v>
          </cell>
          <cell r="C342" t="str">
            <v>VELASQUEZ MORENO JOSE EDGAR</v>
          </cell>
        </row>
        <row r="343">
          <cell r="A343">
            <v>19405596</v>
          </cell>
          <cell r="B343" t="str">
            <v>CO</v>
          </cell>
          <cell r="C343" t="str">
            <v>GUILLERMO AUGUSTO ARCINIEGAS</v>
          </cell>
        </row>
        <row r="344">
          <cell r="A344">
            <v>19415035</v>
          </cell>
          <cell r="B344" t="str">
            <v>CO</v>
          </cell>
          <cell r="C344" t="str">
            <v>BELTRAN CARDENAS DOMINGO</v>
          </cell>
        </row>
        <row r="345">
          <cell r="A345">
            <v>19416957</v>
          </cell>
          <cell r="B345" t="str">
            <v>CO</v>
          </cell>
          <cell r="C345" t="str">
            <v>PEDRO VICENTE MANCHEGO</v>
          </cell>
        </row>
        <row r="346">
          <cell r="A346">
            <v>19426197</v>
          </cell>
          <cell r="B346" t="str">
            <v>CO</v>
          </cell>
          <cell r="C346" t="str">
            <v>ROA ARANDA MANUEL JOSE</v>
          </cell>
        </row>
        <row r="347">
          <cell r="A347">
            <v>19433406</v>
          </cell>
          <cell r="B347" t="str">
            <v>CO</v>
          </cell>
          <cell r="C347" t="str">
            <v>MORENO CORTES FERNANDO</v>
          </cell>
        </row>
        <row r="348">
          <cell r="A348">
            <v>19433892</v>
          </cell>
          <cell r="B348" t="str">
            <v>CO</v>
          </cell>
          <cell r="C348" t="str">
            <v>RAMON EUSEBIO ZULUAGA</v>
          </cell>
        </row>
        <row r="349">
          <cell r="A349">
            <v>19434801</v>
          </cell>
          <cell r="B349" t="str">
            <v>CO</v>
          </cell>
          <cell r="C349" t="str">
            <v>CASTIBLANCO SIACHOQUE MIGUEL</v>
          </cell>
        </row>
        <row r="350">
          <cell r="A350">
            <v>19447076</v>
          </cell>
          <cell r="B350" t="str">
            <v>CO</v>
          </cell>
          <cell r="C350" t="str">
            <v>CASTELLANOS ALBERTO</v>
          </cell>
        </row>
        <row r="351">
          <cell r="A351">
            <v>19449126</v>
          </cell>
          <cell r="B351" t="str">
            <v>CO</v>
          </cell>
          <cell r="C351" t="str">
            <v>ARIAS ZAMBRANO ALBERTO LUIS</v>
          </cell>
        </row>
        <row r="352">
          <cell r="A352">
            <v>19453060</v>
          </cell>
          <cell r="B352" t="str">
            <v>CO</v>
          </cell>
          <cell r="C352" t="str">
            <v>VARELA OCACION MAURICIO</v>
          </cell>
        </row>
        <row r="353">
          <cell r="A353">
            <v>19460496</v>
          </cell>
          <cell r="B353" t="str">
            <v>CO</v>
          </cell>
          <cell r="C353" t="str">
            <v>MAURICIO ANTONIO ROMERO GIL</v>
          </cell>
        </row>
        <row r="354">
          <cell r="A354">
            <v>19474384</v>
          </cell>
          <cell r="B354" t="str">
            <v>CO</v>
          </cell>
          <cell r="C354" t="str">
            <v>ZULUAGA ARISTIZABAL CESAR AUGUSTO</v>
          </cell>
        </row>
        <row r="355">
          <cell r="A355">
            <v>19474836</v>
          </cell>
          <cell r="B355" t="str">
            <v>CO</v>
          </cell>
          <cell r="C355" t="str">
            <v>GOMEZ VELASQUEZ PEDRO JOSE</v>
          </cell>
        </row>
        <row r="356">
          <cell r="A356">
            <v>19474880</v>
          </cell>
          <cell r="B356" t="str">
            <v>CO</v>
          </cell>
          <cell r="C356" t="str">
            <v>MORA FABIO</v>
          </cell>
        </row>
        <row r="357">
          <cell r="A357">
            <v>19478719</v>
          </cell>
          <cell r="B357" t="str">
            <v>CO</v>
          </cell>
          <cell r="C357" t="str">
            <v>PEDRO PABLO GUTIERREZ</v>
          </cell>
        </row>
        <row r="358">
          <cell r="A358">
            <v>19479608</v>
          </cell>
          <cell r="B358" t="str">
            <v>CO</v>
          </cell>
          <cell r="C358" t="str">
            <v>ROSERO PEDRAZA VICTOR WILLIAM</v>
          </cell>
        </row>
        <row r="359">
          <cell r="A359">
            <v>19482513</v>
          </cell>
          <cell r="B359" t="str">
            <v>CO</v>
          </cell>
          <cell r="C359" t="str">
            <v>JOSE PLACIDO CONTRERAS GARAVITO</v>
          </cell>
        </row>
        <row r="360">
          <cell r="A360">
            <v>19484751</v>
          </cell>
          <cell r="B360" t="str">
            <v>CO</v>
          </cell>
          <cell r="C360" t="str">
            <v>CASALLAS MARTINEZ RODRIGO ORLANDO</v>
          </cell>
        </row>
        <row r="361">
          <cell r="A361">
            <v>19489949</v>
          </cell>
          <cell r="B361" t="str">
            <v>CO</v>
          </cell>
          <cell r="C361" t="str">
            <v>BARRAGAN ANDRES</v>
          </cell>
        </row>
        <row r="362">
          <cell r="A362">
            <v>19492120</v>
          </cell>
          <cell r="B362" t="str">
            <v>CO</v>
          </cell>
          <cell r="C362" t="str">
            <v>RUBEN DARIO AVILA PULIDO</v>
          </cell>
        </row>
        <row r="363">
          <cell r="A363">
            <v>19494853</v>
          </cell>
          <cell r="B363" t="str">
            <v>CO</v>
          </cell>
          <cell r="C363" t="str">
            <v>CRUZ MORA JOSE FERNANDO</v>
          </cell>
        </row>
        <row r="364">
          <cell r="A364">
            <v>19601764</v>
          </cell>
          <cell r="B364" t="str">
            <v>CO</v>
          </cell>
          <cell r="C364" t="str">
            <v>MARIN ANDRADE CAMPO ELIAS</v>
          </cell>
        </row>
        <row r="365">
          <cell r="A365">
            <v>20114884</v>
          </cell>
          <cell r="B365" t="str">
            <v>CO</v>
          </cell>
          <cell r="C365" t="str">
            <v>GALAN DE OTERO FLOR ANGELA</v>
          </cell>
        </row>
        <row r="366">
          <cell r="A366">
            <v>20124494</v>
          </cell>
          <cell r="B366" t="str">
            <v>CO</v>
          </cell>
          <cell r="C366" t="str">
            <v>TELLEZ ALCIRA BLANCA</v>
          </cell>
        </row>
        <row r="367">
          <cell r="A367">
            <v>20167284</v>
          </cell>
          <cell r="B367" t="str">
            <v>CO</v>
          </cell>
          <cell r="C367" t="str">
            <v>ESPINEL EMMA</v>
          </cell>
        </row>
        <row r="368">
          <cell r="A368">
            <v>20315131</v>
          </cell>
          <cell r="B368" t="str">
            <v>CO</v>
          </cell>
          <cell r="C368" t="str">
            <v>GARCIA DE CORTES ENCARNACIÓN</v>
          </cell>
        </row>
        <row r="369">
          <cell r="A369">
            <v>20320406</v>
          </cell>
          <cell r="B369" t="str">
            <v>CO</v>
          </cell>
          <cell r="C369" t="str">
            <v>ACEVEDO RIVERA GLADYS</v>
          </cell>
        </row>
        <row r="370">
          <cell r="A370">
            <v>20420311</v>
          </cell>
          <cell r="B370" t="str">
            <v>CO</v>
          </cell>
          <cell r="C370" t="str">
            <v>ALONSO MARIA TERESA</v>
          </cell>
        </row>
        <row r="371">
          <cell r="A371">
            <v>20490419</v>
          </cell>
          <cell r="B371" t="str">
            <v>CO</v>
          </cell>
          <cell r="C371" t="str">
            <v>MONTENEGRO DE QUINTERO ROSA TULIA</v>
          </cell>
        </row>
        <row r="372">
          <cell r="A372">
            <v>20492354</v>
          </cell>
          <cell r="B372" t="str">
            <v>CO</v>
          </cell>
          <cell r="C372" t="str">
            <v>UMBARILA CHICUAZUQUE BLANCA NIDIA</v>
          </cell>
        </row>
        <row r="373">
          <cell r="A373">
            <v>20551435</v>
          </cell>
          <cell r="B373" t="str">
            <v>CO</v>
          </cell>
          <cell r="C373" t="str">
            <v>OLINDA NINI CORTES FORERO</v>
          </cell>
        </row>
        <row r="374">
          <cell r="A374">
            <v>20716580</v>
          </cell>
          <cell r="B374" t="str">
            <v>CO</v>
          </cell>
          <cell r="C374" t="str">
            <v>YURIAN RUBIELA LEIVA GUERRERO</v>
          </cell>
        </row>
        <row r="375">
          <cell r="A375">
            <v>20735116</v>
          </cell>
          <cell r="B375" t="str">
            <v>CO</v>
          </cell>
          <cell r="C375" t="str">
            <v>URIBE DE STAHELIN LUZ STELLA</v>
          </cell>
        </row>
        <row r="376">
          <cell r="A376">
            <v>20753519</v>
          </cell>
          <cell r="B376" t="str">
            <v>CO</v>
          </cell>
          <cell r="C376" t="str">
            <v>CAMACHO DORIS</v>
          </cell>
        </row>
        <row r="377">
          <cell r="A377">
            <v>20926844</v>
          </cell>
          <cell r="B377" t="str">
            <v>CO</v>
          </cell>
          <cell r="C377" t="str">
            <v>REYES MUÑOZ LEONIDE</v>
          </cell>
        </row>
        <row r="378">
          <cell r="A378">
            <v>20931414</v>
          </cell>
          <cell r="B378" t="str">
            <v>CO</v>
          </cell>
          <cell r="C378" t="str">
            <v>PEÑA PEÑA ANAIDA ISABEL</v>
          </cell>
        </row>
        <row r="379">
          <cell r="A379">
            <v>20933023</v>
          </cell>
          <cell r="B379" t="str">
            <v>CO</v>
          </cell>
          <cell r="C379" t="str">
            <v>LUZ MARCELA FRAILE SUAREZ</v>
          </cell>
        </row>
        <row r="380">
          <cell r="A380">
            <v>20951980</v>
          </cell>
          <cell r="B380" t="str">
            <v>CO</v>
          </cell>
          <cell r="C380" t="str">
            <v>GARCIA MARIA CRISTINA</v>
          </cell>
        </row>
        <row r="381">
          <cell r="A381">
            <v>20993981</v>
          </cell>
          <cell r="B381" t="str">
            <v>CO</v>
          </cell>
          <cell r="C381" t="str">
            <v>MARTA LUCIA GOMEZ HILARION</v>
          </cell>
        </row>
        <row r="382">
          <cell r="A382">
            <v>21094657</v>
          </cell>
          <cell r="B382" t="str">
            <v>CO</v>
          </cell>
          <cell r="C382" t="str">
            <v>MARIA MARITZA SARMIENTO ALVARADO</v>
          </cell>
        </row>
        <row r="383">
          <cell r="A383">
            <v>21179626</v>
          </cell>
          <cell r="B383" t="str">
            <v>CO</v>
          </cell>
          <cell r="C383" t="str">
            <v>SANCHEZ MORALES AMPARO</v>
          </cell>
        </row>
        <row r="384">
          <cell r="A384">
            <v>21207772</v>
          </cell>
          <cell r="B384" t="str">
            <v>CO</v>
          </cell>
          <cell r="C384" t="str">
            <v>FRIAS PARADA AMPARO DE LOURDES</v>
          </cell>
        </row>
        <row r="385">
          <cell r="A385">
            <v>21215495</v>
          </cell>
          <cell r="B385" t="str">
            <v>CO</v>
          </cell>
          <cell r="C385" t="str">
            <v>CHAPARRO DE SERRATO MARTINA</v>
          </cell>
        </row>
        <row r="386">
          <cell r="A386">
            <v>21230543</v>
          </cell>
          <cell r="B386" t="str">
            <v>CO</v>
          </cell>
          <cell r="C386" t="str">
            <v>REYES PINEROS ANA</v>
          </cell>
        </row>
        <row r="387">
          <cell r="A387">
            <v>21231468</v>
          </cell>
          <cell r="B387" t="str">
            <v>CO</v>
          </cell>
          <cell r="C387" t="str">
            <v>URIBE NOHELIA</v>
          </cell>
        </row>
        <row r="388">
          <cell r="A388">
            <v>21461076</v>
          </cell>
          <cell r="B388" t="str">
            <v>CO</v>
          </cell>
          <cell r="C388" t="str">
            <v>ALVAREZ MARIA CONCEPCION</v>
          </cell>
        </row>
        <row r="389">
          <cell r="A389">
            <v>21870702</v>
          </cell>
          <cell r="B389" t="str">
            <v>CO</v>
          </cell>
          <cell r="C389" t="str">
            <v>DE GALLO MARIA CONSUELO</v>
          </cell>
        </row>
        <row r="390">
          <cell r="A390">
            <v>22577502</v>
          </cell>
          <cell r="B390" t="str">
            <v>CO</v>
          </cell>
          <cell r="C390" t="str">
            <v>CARPINTERO VARELA MAYRA DEL CARMEN</v>
          </cell>
        </row>
        <row r="391">
          <cell r="A391">
            <v>23385282</v>
          </cell>
          <cell r="B391" t="str">
            <v>CO</v>
          </cell>
          <cell r="C391" t="str">
            <v>ROJAS DIAZ SEVIGNE</v>
          </cell>
        </row>
        <row r="392">
          <cell r="A392">
            <v>23433579</v>
          </cell>
          <cell r="B392" t="str">
            <v>CO</v>
          </cell>
          <cell r="C392" t="str">
            <v>CARO PULIDO FLOR MARIA</v>
          </cell>
        </row>
        <row r="393">
          <cell r="A393">
            <v>23551475</v>
          </cell>
          <cell r="B393" t="str">
            <v>CO</v>
          </cell>
          <cell r="C393" t="str">
            <v>MARIA GLADYS MEDRANO</v>
          </cell>
        </row>
        <row r="394">
          <cell r="A394">
            <v>23554910</v>
          </cell>
          <cell r="B394" t="str">
            <v>CO</v>
          </cell>
          <cell r="C394" t="str">
            <v>MARTHA MOLANO</v>
          </cell>
        </row>
        <row r="395">
          <cell r="A395">
            <v>23560923</v>
          </cell>
          <cell r="B395" t="str">
            <v>CO</v>
          </cell>
          <cell r="C395" t="str">
            <v>BARAJAS MENESES DANY</v>
          </cell>
        </row>
        <row r="396">
          <cell r="A396">
            <v>23710539</v>
          </cell>
          <cell r="B396" t="str">
            <v>CO</v>
          </cell>
          <cell r="C396" t="str">
            <v>DELGADO FUENTES DANNY</v>
          </cell>
        </row>
        <row r="397">
          <cell r="A397">
            <v>23788926</v>
          </cell>
          <cell r="B397" t="str">
            <v>CO</v>
          </cell>
          <cell r="C397" t="str">
            <v>ANA JOAQUINA MARQUEZ</v>
          </cell>
        </row>
        <row r="398">
          <cell r="A398">
            <v>23800642</v>
          </cell>
          <cell r="B398" t="str">
            <v>CO</v>
          </cell>
          <cell r="C398" t="str">
            <v>ROA MARTIN LUZ EMILSE</v>
          </cell>
        </row>
        <row r="399">
          <cell r="A399">
            <v>23834903</v>
          </cell>
          <cell r="B399" t="str">
            <v>CO</v>
          </cell>
          <cell r="C399" t="str">
            <v>TOVAR GUACARAPARE MARIA CANDELARIA</v>
          </cell>
        </row>
        <row r="400">
          <cell r="A400">
            <v>23836012</v>
          </cell>
          <cell r="B400" t="str">
            <v>CO</v>
          </cell>
          <cell r="C400" t="str">
            <v>HERNANDEZ ESPINOSA LINA GIOMAR</v>
          </cell>
        </row>
        <row r="401">
          <cell r="A401">
            <v>23895176</v>
          </cell>
          <cell r="B401" t="str">
            <v>CO</v>
          </cell>
          <cell r="C401" t="str">
            <v>ALVAREZ DE VILLA NUEVA AMPARO</v>
          </cell>
        </row>
        <row r="402">
          <cell r="A402">
            <v>23895633</v>
          </cell>
          <cell r="B402" t="str">
            <v>CO</v>
          </cell>
          <cell r="C402" t="str">
            <v>BUSTILLO ALBA MARINA</v>
          </cell>
        </row>
        <row r="403">
          <cell r="A403">
            <v>23926838</v>
          </cell>
          <cell r="B403" t="str">
            <v>CO</v>
          </cell>
          <cell r="C403" t="str">
            <v>MORA TIRANO DORIS CRISTINA</v>
          </cell>
        </row>
        <row r="404">
          <cell r="A404">
            <v>23936966</v>
          </cell>
          <cell r="B404" t="str">
            <v>CO</v>
          </cell>
          <cell r="C404" t="str">
            <v>CARLELY TUAY GODOY</v>
          </cell>
        </row>
        <row r="405">
          <cell r="A405">
            <v>24079464</v>
          </cell>
          <cell r="B405" t="str">
            <v>CO</v>
          </cell>
          <cell r="C405" t="str">
            <v>SUAREZ BAEZ MARIA DEL CARMEN</v>
          </cell>
        </row>
        <row r="406">
          <cell r="A406">
            <v>24110333</v>
          </cell>
          <cell r="B406" t="str">
            <v>CO</v>
          </cell>
          <cell r="C406" t="str">
            <v>ROJAS DE MONTAÑA CARMEN</v>
          </cell>
        </row>
        <row r="407">
          <cell r="A407">
            <v>24190597</v>
          </cell>
          <cell r="B407" t="str">
            <v>CO</v>
          </cell>
          <cell r="C407" t="str">
            <v>MYRIAM GARCIA OROS</v>
          </cell>
        </row>
        <row r="408">
          <cell r="A408">
            <v>24190599</v>
          </cell>
          <cell r="B408" t="str">
            <v>CO</v>
          </cell>
          <cell r="C408" t="str">
            <v>GLADYS BETANCOURT ARANGUREN</v>
          </cell>
        </row>
        <row r="409">
          <cell r="A409">
            <v>24231684</v>
          </cell>
          <cell r="B409" t="str">
            <v>CO</v>
          </cell>
          <cell r="C409" t="str">
            <v>MARTHA LEANDRA CAMPO LEON</v>
          </cell>
        </row>
        <row r="410">
          <cell r="A410">
            <v>24477006</v>
          </cell>
          <cell r="B410" t="str">
            <v>CO</v>
          </cell>
          <cell r="C410" t="str">
            <v>HOYOS LUZ MILA</v>
          </cell>
        </row>
        <row r="411">
          <cell r="A411">
            <v>24755192</v>
          </cell>
          <cell r="B411" t="str">
            <v>CO</v>
          </cell>
          <cell r="C411" t="str">
            <v>LOPEZ DE RAMIREZ ERMILDA</v>
          </cell>
        </row>
        <row r="412">
          <cell r="A412">
            <v>25284970</v>
          </cell>
          <cell r="B412" t="str">
            <v>CO</v>
          </cell>
          <cell r="C412" t="str">
            <v>LILIANA CAROLINA LATORRE GOMEZ</v>
          </cell>
        </row>
        <row r="413">
          <cell r="A413">
            <v>25989755</v>
          </cell>
          <cell r="B413" t="str">
            <v>CO</v>
          </cell>
          <cell r="C413" t="str">
            <v>LUZ CARIME UPARELA</v>
          </cell>
        </row>
        <row r="414">
          <cell r="A414">
            <v>27556328</v>
          </cell>
          <cell r="B414" t="str">
            <v>CO</v>
          </cell>
          <cell r="C414" t="str">
            <v>ELSA MARINA RAMIREZ</v>
          </cell>
        </row>
        <row r="415">
          <cell r="A415">
            <v>28011675</v>
          </cell>
          <cell r="B415" t="str">
            <v>CO</v>
          </cell>
          <cell r="C415" t="str">
            <v>EVAN NEME KETRIN</v>
          </cell>
        </row>
        <row r="416">
          <cell r="A416">
            <v>28012214</v>
          </cell>
          <cell r="B416" t="str">
            <v>CO</v>
          </cell>
          <cell r="C416" t="str">
            <v>LUCILA RUEDA DE PLATA</v>
          </cell>
        </row>
        <row r="417">
          <cell r="A417">
            <v>28012996</v>
          </cell>
          <cell r="B417" t="str">
            <v>CO</v>
          </cell>
          <cell r="C417" t="str">
            <v>HENAO DE URIBE MARINA</v>
          </cell>
        </row>
        <row r="418">
          <cell r="A418">
            <v>28023591</v>
          </cell>
          <cell r="B418" t="str">
            <v>CO</v>
          </cell>
          <cell r="C418" t="str">
            <v>ELVINIA ACEVEDO BARRIOS</v>
          </cell>
        </row>
        <row r="419">
          <cell r="A419">
            <v>28317012</v>
          </cell>
          <cell r="B419" t="str">
            <v>CO</v>
          </cell>
          <cell r="C419" t="str">
            <v>ANA MARIA CASTAÑEDA</v>
          </cell>
        </row>
        <row r="420">
          <cell r="A420">
            <v>28399634</v>
          </cell>
          <cell r="B420" t="str">
            <v>CO</v>
          </cell>
          <cell r="C420" t="str">
            <v>GONZALEZ NINO FLORENTINA</v>
          </cell>
        </row>
        <row r="421">
          <cell r="A421">
            <v>28399817</v>
          </cell>
          <cell r="B421" t="str">
            <v>CO</v>
          </cell>
          <cell r="C421" t="str">
            <v>GARCIA DE GARCIA FLOR MARIA</v>
          </cell>
        </row>
        <row r="422">
          <cell r="A422">
            <v>28483539</v>
          </cell>
          <cell r="B422" t="str">
            <v>CO</v>
          </cell>
          <cell r="C422" t="str">
            <v>SARMIENTO DURAN CLAUDIA MILENA</v>
          </cell>
        </row>
        <row r="423">
          <cell r="A423">
            <v>28488546</v>
          </cell>
          <cell r="B423" t="str">
            <v>CO</v>
          </cell>
          <cell r="C423" t="str">
            <v>VARGAS ANGARITA MARYERLY</v>
          </cell>
        </row>
        <row r="424">
          <cell r="A424">
            <v>28494585</v>
          </cell>
          <cell r="B424" t="str">
            <v>CO</v>
          </cell>
          <cell r="C424" t="str">
            <v>LOPEZ DUARTE ANA LUCIA</v>
          </cell>
        </row>
        <row r="425">
          <cell r="A425">
            <v>28495865</v>
          </cell>
          <cell r="B425" t="str">
            <v>CO</v>
          </cell>
          <cell r="C425" t="str">
            <v>RUEDA ROJAS EDELMIRA</v>
          </cell>
        </row>
        <row r="426">
          <cell r="A426">
            <v>28496937</v>
          </cell>
          <cell r="B426" t="str">
            <v>CO</v>
          </cell>
          <cell r="C426" t="str">
            <v>ORTIZ TORRES MARIA ESPERANZA</v>
          </cell>
        </row>
        <row r="427">
          <cell r="A427">
            <v>28838294</v>
          </cell>
          <cell r="B427" t="str">
            <v>CO</v>
          </cell>
          <cell r="C427" t="str">
            <v>PINZON JIMENEZ NANCY</v>
          </cell>
        </row>
        <row r="428">
          <cell r="A428">
            <v>28854177</v>
          </cell>
          <cell r="B428" t="str">
            <v>CO</v>
          </cell>
          <cell r="C428" t="str">
            <v>OSWALDO HERNANDEZ BARRETO</v>
          </cell>
        </row>
        <row r="429">
          <cell r="A429">
            <v>29114089</v>
          </cell>
          <cell r="B429" t="str">
            <v>CO</v>
          </cell>
          <cell r="C429" t="str">
            <v>OBANDO GOMEZ SANDRA PATRICIA</v>
          </cell>
        </row>
        <row r="430">
          <cell r="A430">
            <v>29116806</v>
          </cell>
          <cell r="B430" t="str">
            <v>CO</v>
          </cell>
          <cell r="C430" t="str">
            <v>HAYA MAYA MYRIAM</v>
          </cell>
        </row>
        <row r="431">
          <cell r="A431">
            <v>29679883</v>
          </cell>
          <cell r="B431" t="str">
            <v>CO</v>
          </cell>
          <cell r="C431" t="str">
            <v>URREA MONCALEANO MARILUZ</v>
          </cell>
        </row>
        <row r="432">
          <cell r="A432">
            <v>30056589</v>
          </cell>
          <cell r="B432" t="str">
            <v>CO</v>
          </cell>
          <cell r="C432" t="str">
            <v>MORENO MARIA DOLORES</v>
          </cell>
        </row>
        <row r="433">
          <cell r="A433">
            <v>30082352</v>
          </cell>
          <cell r="B433" t="str">
            <v>CO</v>
          </cell>
          <cell r="C433" t="str">
            <v>PARRADO AGUDELO YOLIMA</v>
          </cell>
        </row>
        <row r="434">
          <cell r="A434">
            <v>30387004</v>
          </cell>
          <cell r="B434" t="str">
            <v>CO</v>
          </cell>
          <cell r="C434" t="str">
            <v>LUZ MERY AYALA</v>
          </cell>
        </row>
        <row r="435">
          <cell r="A435">
            <v>30389297</v>
          </cell>
          <cell r="B435" t="str">
            <v>CO</v>
          </cell>
          <cell r="C435" t="str">
            <v>SEPULVEDA ARIAS SANDRA MILENA</v>
          </cell>
        </row>
        <row r="436">
          <cell r="A436">
            <v>30391419</v>
          </cell>
          <cell r="B436" t="str">
            <v>CO</v>
          </cell>
          <cell r="C436" t="str">
            <v>MEJIA RODRIGUEZ DIANA CRISTINA</v>
          </cell>
        </row>
        <row r="437">
          <cell r="A437">
            <v>30519622</v>
          </cell>
          <cell r="B437" t="str">
            <v>CO</v>
          </cell>
          <cell r="C437" t="str">
            <v>LONDOÑO RODRIGUEZ LUCENY</v>
          </cell>
        </row>
        <row r="438">
          <cell r="A438">
            <v>30981737</v>
          </cell>
          <cell r="B438" t="str">
            <v>CO</v>
          </cell>
          <cell r="C438" t="str">
            <v>RINCON DE MENDEZ INES LUCIA</v>
          </cell>
        </row>
        <row r="439">
          <cell r="A439">
            <v>30981764</v>
          </cell>
          <cell r="B439" t="str">
            <v>CO</v>
          </cell>
          <cell r="C439" t="str">
            <v>MARIA VILMA CASTAÑEDA MORENO</v>
          </cell>
        </row>
        <row r="440">
          <cell r="A440">
            <v>30983059</v>
          </cell>
          <cell r="B440" t="str">
            <v>CO</v>
          </cell>
          <cell r="C440" t="str">
            <v>DIRLEY OVEIDA MEDINA CARRILLO</v>
          </cell>
        </row>
        <row r="441">
          <cell r="A441">
            <v>31021440</v>
          </cell>
          <cell r="B441" t="str">
            <v>CO</v>
          </cell>
          <cell r="C441" t="str">
            <v>GUITIERREZ BETSABE MARTIN</v>
          </cell>
        </row>
        <row r="442">
          <cell r="A442">
            <v>31166716</v>
          </cell>
          <cell r="B442" t="str">
            <v>CO</v>
          </cell>
          <cell r="C442" t="str">
            <v>ZEA GONZALEZ SIRLEY</v>
          </cell>
        </row>
        <row r="443">
          <cell r="A443">
            <v>31398514</v>
          </cell>
          <cell r="B443" t="str">
            <v>CO</v>
          </cell>
          <cell r="C443" t="str">
            <v>HERNANDEZ OSPINA MARIA ESPERANZA</v>
          </cell>
        </row>
        <row r="444">
          <cell r="A444">
            <v>31626458</v>
          </cell>
          <cell r="B444" t="str">
            <v>CO</v>
          </cell>
          <cell r="C444" t="str">
            <v>FAY AMALIA ROSERO</v>
          </cell>
        </row>
        <row r="445">
          <cell r="A445">
            <v>31864228</v>
          </cell>
          <cell r="B445" t="str">
            <v>CO</v>
          </cell>
          <cell r="C445" t="str">
            <v>GLORIA EDITH ESCOBAR OLIVEROS</v>
          </cell>
        </row>
        <row r="446">
          <cell r="A446">
            <v>32006203</v>
          </cell>
          <cell r="B446" t="str">
            <v>CO</v>
          </cell>
          <cell r="C446" t="str">
            <v>PEDROZO BALLESTA FRANCISCA</v>
          </cell>
        </row>
        <row r="447">
          <cell r="A447">
            <v>32076724</v>
          </cell>
          <cell r="B447" t="str">
            <v>CO</v>
          </cell>
          <cell r="C447" t="str">
            <v>PELAEZ NATALIA</v>
          </cell>
        </row>
        <row r="448">
          <cell r="A448">
            <v>32259258</v>
          </cell>
          <cell r="B448" t="str">
            <v>CO</v>
          </cell>
          <cell r="C448" t="str">
            <v>NIETO RESTREPO LEIDY JISETH</v>
          </cell>
        </row>
        <row r="449">
          <cell r="A449">
            <v>32299552</v>
          </cell>
          <cell r="B449" t="str">
            <v>CO</v>
          </cell>
          <cell r="C449" t="str">
            <v>GARCIA ARENAS MADELEINE</v>
          </cell>
        </row>
        <row r="450">
          <cell r="A450">
            <v>32714626</v>
          </cell>
          <cell r="B450" t="str">
            <v>CO</v>
          </cell>
          <cell r="C450" t="str">
            <v>MARIELA TRILLOS VAZQUEZ</v>
          </cell>
        </row>
        <row r="451">
          <cell r="A451">
            <v>32739595</v>
          </cell>
          <cell r="B451" t="str">
            <v>CO</v>
          </cell>
          <cell r="C451" t="str">
            <v>DOMINGA MERCEDES PACHECO HOYOS</v>
          </cell>
        </row>
        <row r="452">
          <cell r="A452">
            <v>32741031</v>
          </cell>
          <cell r="B452" t="str">
            <v>CO</v>
          </cell>
          <cell r="C452" t="str">
            <v>NAVARRO LOPEZ ANGELICA MARIA</v>
          </cell>
        </row>
        <row r="453">
          <cell r="A453">
            <v>32854293</v>
          </cell>
          <cell r="B453" t="str">
            <v>CO</v>
          </cell>
          <cell r="C453" t="str">
            <v>REYES BUJATO CLARTH DEL CARMEN</v>
          </cell>
        </row>
        <row r="454">
          <cell r="A454">
            <v>32897113</v>
          </cell>
          <cell r="B454" t="str">
            <v>CO</v>
          </cell>
          <cell r="C454" t="str">
            <v>MOJICA CARPINTERO TATIANA ISABEL</v>
          </cell>
        </row>
        <row r="455">
          <cell r="A455">
            <v>33448216</v>
          </cell>
          <cell r="B455" t="str">
            <v>CO</v>
          </cell>
          <cell r="C455" t="str">
            <v>CAMARGO CARDENAS AURORA</v>
          </cell>
        </row>
        <row r="456">
          <cell r="A456">
            <v>33925788</v>
          </cell>
          <cell r="B456" t="str">
            <v>CO</v>
          </cell>
          <cell r="C456" t="str">
            <v>HERRERA MAZO YOLBER ESTIBER</v>
          </cell>
        </row>
        <row r="457">
          <cell r="A457">
            <v>35252728</v>
          </cell>
          <cell r="B457" t="str">
            <v>CO</v>
          </cell>
          <cell r="C457" t="str">
            <v>ROZO DIAZ BIANCA YOHANNA</v>
          </cell>
        </row>
        <row r="458">
          <cell r="A458">
            <v>35315618</v>
          </cell>
          <cell r="B458" t="str">
            <v>CO</v>
          </cell>
          <cell r="C458" t="str">
            <v>BERNAL DE SIERRA LUZ MARINA</v>
          </cell>
        </row>
        <row r="459">
          <cell r="A459">
            <v>35353571</v>
          </cell>
          <cell r="B459" t="str">
            <v>CO</v>
          </cell>
          <cell r="C459" t="str">
            <v>SARMIENTO RUBIANO SINDY CONSUELO</v>
          </cell>
        </row>
        <row r="460">
          <cell r="A460">
            <v>35376791</v>
          </cell>
          <cell r="B460" t="str">
            <v>CO</v>
          </cell>
          <cell r="C460" t="str">
            <v>CHALA CANTE LILIANA MARIA</v>
          </cell>
        </row>
        <row r="461">
          <cell r="A461">
            <v>35393936</v>
          </cell>
          <cell r="B461" t="str">
            <v>CO</v>
          </cell>
          <cell r="C461" t="str">
            <v>NATALIA DEL PILAR GONZALEZ GONZALEZ</v>
          </cell>
        </row>
        <row r="462">
          <cell r="A462">
            <v>35426759</v>
          </cell>
          <cell r="B462" t="str">
            <v>CO</v>
          </cell>
          <cell r="C462" t="str">
            <v>RUIZ SUAREZ ANDREA LILIANA</v>
          </cell>
        </row>
        <row r="463">
          <cell r="A463">
            <v>35534833</v>
          </cell>
          <cell r="B463" t="str">
            <v>CO</v>
          </cell>
          <cell r="C463" t="str">
            <v>LIZ DIGNARY AGULERA MURCIA</v>
          </cell>
        </row>
        <row r="464">
          <cell r="A464">
            <v>36175762</v>
          </cell>
          <cell r="B464" t="str">
            <v>CO</v>
          </cell>
          <cell r="C464" t="str">
            <v>PINTO PULIDO OCABEL</v>
          </cell>
        </row>
        <row r="465">
          <cell r="A465">
            <v>36314261</v>
          </cell>
          <cell r="B465" t="str">
            <v>CO</v>
          </cell>
          <cell r="C465" t="str">
            <v>ACEVEDO MENDEZ LINA MARCELA</v>
          </cell>
        </row>
        <row r="466">
          <cell r="A466">
            <v>36458331</v>
          </cell>
          <cell r="B466" t="str">
            <v>CO</v>
          </cell>
          <cell r="C466" t="str">
            <v>JAIMES SERRANO ALBA LUZ</v>
          </cell>
        </row>
        <row r="467">
          <cell r="A467">
            <v>36533661</v>
          </cell>
          <cell r="B467" t="str">
            <v>CO</v>
          </cell>
          <cell r="C467" t="str">
            <v>CAICEDO MARTINEZ IVIS DEL SOCORRO</v>
          </cell>
        </row>
        <row r="468">
          <cell r="A468">
            <v>37512954</v>
          </cell>
          <cell r="B468" t="str">
            <v>CO</v>
          </cell>
          <cell r="C468" t="str">
            <v>SUAREZ CARDOZA MAYRA ALEJANDRA</v>
          </cell>
        </row>
        <row r="469">
          <cell r="A469">
            <v>37557820</v>
          </cell>
          <cell r="B469" t="str">
            <v>CO</v>
          </cell>
          <cell r="C469" t="str">
            <v>LUZ LIBIA JAIME SUAREZ</v>
          </cell>
        </row>
        <row r="470">
          <cell r="A470">
            <v>37558765</v>
          </cell>
          <cell r="B470" t="str">
            <v>CO</v>
          </cell>
          <cell r="C470" t="str">
            <v>CALDERON WILCHES CARMEN</v>
          </cell>
        </row>
        <row r="471">
          <cell r="A471">
            <v>37577978</v>
          </cell>
          <cell r="B471" t="str">
            <v>CO</v>
          </cell>
          <cell r="C471" t="str">
            <v>DIDI ISABEL FONSECA ROJAS</v>
          </cell>
        </row>
        <row r="472">
          <cell r="A472">
            <v>37578244</v>
          </cell>
          <cell r="B472" t="str">
            <v>CO</v>
          </cell>
          <cell r="C472" t="str">
            <v>LIDA MARCELA RODRIGUEZ ESTRADA</v>
          </cell>
        </row>
        <row r="473">
          <cell r="A473">
            <v>37578526</v>
          </cell>
          <cell r="B473" t="str">
            <v>CO</v>
          </cell>
          <cell r="C473" t="str">
            <v>MEJIA BARRERA CLARA MARCELA</v>
          </cell>
        </row>
        <row r="474">
          <cell r="A474">
            <v>37580294</v>
          </cell>
          <cell r="B474" t="str">
            <v>CO</v>
          </cell>
          <cell r="C474" t="str">
            <v>GALVIS MARIA</v>
          </cell>
        </row>
        <row r="475">
          <cell r="A475">
            <v>37580545</v>
          </cell>
          <cell r="B475" t="str">
            <v>CO</v>
          </cell>
          <cell r="C475" t="str">
            <v>CONTRERAS RAMOS IVETH</v>
          </cell>
        </row>
        <row r="476">
          <cell r="A476">
            <v>37581170</v>
          </cell>
          <cell r="B476" t="str">
            <v>CO</v>
          </cell>
          <cell r="C476" t="str">
            <v>VERA RABELO LEIDIS</v>
          </cell>
        </row>
        <row r="477">
          <cell r="A477">
            <v>37581586</v>
          </cell>
          <cell r="B477" t="str">
            <v>CO</v>
          </cell>
          <cell r="C477" t="str">
            <v>BAUTISTA ZABALA MAYERLI</v>
          </cell>
        </row>
        <row r="478">
          <cell r="A478">
            <v>37721960</v>
          </cell>
          <cell r="B478" t="str">
            <v>CO</v>
          </cell>
          <cell r="C478" t="str">
            <v>JURADO TORRES ALBA DUPERLY</v>
          </cell>
        </row>
        <row r="479">
          <cell r="A479">
            <v>37722624</v>
          </cell>
          <cell r="B479" t="str">
            <v>CO</v>
          </cell>
          <cell r="C479" t="str">
            <v>EMILCEN ORTIZ RUEDA</v>
          </cell>
        </row>
        <row r="480">
          <cell r="A480">
            <v>37800774</v>
          </cell>
          <cell r="B480" t="str">
            <v>CO</v>
          </cell>
          <cell r="C480" t="str">
            <v>MORA LEONOR CECILIA</v>
          </cell>
        </row>
        <row r="481">
          <cell r="A481">
            <v>37841707</v>
          </cell>
          <cell r="B481" t="str">
            <v>CO</v>
          </cell>
          <cell r="C481" t="str">
            <v>AVILA PEDRAZA OLGA YOVANA</v>
          </cell>
        </row>
        <row r="482">
          <cell r="A482">
            <v>37915371</v>
          </cell>
          <cell r="B482" t="str">
            <v>CO</v>
          </cell>
          <cell r="C482" t="str">
            <v>GEORGINA GOMEZ ZABALA</v>
          </cell>
        </row>
        <row r="483">
          <cell r="A483">
            <v>37917971</v>
          </cell>
          <cell r="B483" t="str">
            <v>CO</v>
          </cell>
          <cell r="C483" t="str">
            <v>PARRADO SUAREZ MARIELA</v>
          </cell>
        </row>
        <row r="484">
          <cell r="A484">
            <v>37918006</v>
          </cell>
          <cell r="B484" t="str">
            <v>CO</v>
          </cell>
          <cell r="C484" t="str">
            <v>BUENDIA BASTIDAS NAZLY LUZ</v>
          </cell>
        </row>
        <row r="485">
          <cell r="A485">
            <v>37918052</v>
          </cell>
          <cell r="B485" t="str">
            <v>CO</v>
          </cell>
          <cell r="C485" t="str">
            <v>ORTIZ DE ALVAREZ ROSALBA</v>
          </cell>
        </row>
        <row r="486">
          <cell r="A486">
            <v>37920744</v>
          </cell>
          <cell r="B486" t="str">
            <v>CO</v>
          </cell>
          <cell r="C486" t="str">
            <v>PEREZ RUEDA AMINTA</v>
          </cell>
        </row>
        <row r="487">
          <cell r="A487">
            <v>37921571</v>
          </cell>
          <cell r="B487" t="str">
            <v>CO</v>
          </cell>
          <cell r="C487" t="str">
            <v>ESPERANZA OVIEDO DE CASTILLO</v>
          </cell>
        </row>
        <row r="488">
          <cell r="A488">
            <v>37921674</v>
          </cell>
          <cell r="B488" t="str">
            <v>CO</v>
          </cell>
          <cell r="C488" t="str">
            <v>MARIA ESPERANZA SUAREZ DE SALAZAR</v>
          </cell>
        </row>
        <row r="489">
          <cell r="A489">
            <v>37922514</v>
          </cell>
          <cell r="B489" t="str">
            <v>CO</v>
          </cell>
          <cell r="C489" t="str">
            <v>GUTIERREZ ARDILA CONSUELO</v>
          </cell>
        </row>
        <row r="490">
          <cell r="A490">
            <v>37923112</v>
          </cell>
          <cell r="B490" t="str">
            <v>CO</v>
          </cell>
          <cell r="C490" t="str">
            <v>NUÑEZ PAULINA</v>
          </cell>
        </row>
        <row r="491">
          <cell r="A491">
            <v>37923215</v>
          </cell>
          <cell r="B491" t="str">
            <v>CO</v>
          </cell>
          <cell r="C491" t="str">
            <v>DE LA ROSA SORY EDILMA</v>
          </cell>
        </row>
        <row r="492">
          <cell r="A492">
            <v>37924451</v>
          </cell>
          <cell r="B492" t="str">
            <v>CO</v>
          </cell>
          <cell r="C492" t="str">
            <v>MONSALVE PEÑA ESTHER</v>
          </cell>
        </row>
        <row r="493">
          <cell r="A493">
            <v>37924817</v>
          </cell>
          <cell r="B493" t="str">
            <v>CO</v>
          </cell>
          <cell r="C493" t="str">
            <v>LOPEZ MADRID LEDYS MARIA</v>
          </cell>
        </row>
        <row r="494">
          <cell r="A494">
            <v>37926912</v>
          </cell>
          <cell r="B494" t="str">
            <v>CO</v>
          </cell>
          <cell r="C494" t="str">
            <v>FIDELINA RODRIGUEZ</v>
          </cell>
        </row>
        <row r="495">
          <cell r="A495">
            <v>37929089</v>
          </cell>
          <cell r="B495" t="str">
            <v>CO</v>
          </cell>
          <cell r="C495" t="str">
            <v>MONTERROSA LEYDIS SANES</v>
          </cell>
        </row>
        <row r="496">
          <cell r="A496">
            <v>37929435</v>
          </cell>
          <cell r="B496" t="str">
            <v>CO</v>
          </cell>
          <cell r="C496" t="str">
            <v>RONDON BARRIOS MARIA CRISTINA</v>
          </cell>
        </row>
        <row r="497">
          <cell r="A497">
            <v>37929456</v>
          </cell>
          <cell r="B497" t="str">
            <v>CO</v>
          </cell>
          <cell r="C497" t="str">
            <v>AMINTA PICO</v>
          </cell>
        </row>
        <row r="498">
          <cell r="A498">
            <v>37929640</v>
          </cell>
          <cell r="B498" t="str">
            <v>CO</v>
          </cell>
          <cell r="C498" t="str">
            <v>LOPEZ ARDILA NUBIA</v>
          </cell>
        </row>
        <row r="499">
          <cell r="A499">
            <v>37929921</v>
          </cell>
          <cell r="B499" t="str">
            <v>CO</v>
          </cell>
          <cell r="C499" t="str">
            <v>GARCIA DE GARCIA LUZ STELLA</v>
          </cell>
        </row>
        <row r="500">
          <cell r="A500">
            <v>37929927</v>
          </cell>
          <cell r="B500" t="str">
            <v>CO</v>
          </cell>
          <cell r="C500" t="str">
            <v>MIZAR PEÑA RUBIELA</v>
          </cell>
        </row>
        <row r="501">
          <cell r="A501">
            <v>37931527</v>
          </cell>
          <cell r="B501" t="str">
            <v>CO</v>
          </cell>
          <cell r="C501" t="str">
            <v>MORON OCHOA YADIRA</v>
          </cell>
        </row>
        <row r="502">
          <cell r="A502">
            <v>37931768</v>
          </cell>
          <cell r="B502" t="str">
            <v>CO</v>
          </cell>
          <cell r="C502" t="str">
            <v>OMAIRA CECILIA SERRANO GOMEZ</v>
          </cell>
        </row>
        <row r="503">
          <cell r="A503">
            <v>37935555</v>
          </cell>
          <cell r="B503" t="str">
            <v>CO</v>
          </cell>
          <cell r="C503" t="str">
            <v>ANGARITA VERTEL YANETH</v>
          </cell>
        </row>
        <row r="504">
          <cell r="A504">
            <v>37935769</v>
          </cell>
          <cell r="B504" t="str">
            <v>CO</v>
          </cell>
          <cell r="C504" t="str">
            <v>URIBE HENAO DIANA MARGARITA</v>
          </cell>
        </row>
        <row r="505">
          <cell r="A505">
            <v>37939317</v>
          </cell>
          <cell r="B505" t="str">
            <v>CO</v>
          </cell>
          <cell r="C505" t="str">
            <v>POLANCO RODRIGUEZ GENNY LUCIA</v>
          </cell>
        </row>
        <row r="506">
          <cell r="A506">
            <v>37939526</v>
          </cell>
          <cell r="B506" t="str">
            <v>CO</v>
          </cell>
          <cell r="C506" t="str">
            <v>REYES CALA JUDITH</v>
          </cell>
        </row>
        <row r="507">
          <cell r="A507">
            <v>37939849</v>
          </cell>
          <cell r="B507" t="str">
            <v>CO</v>
          </cell>
          <cell r="C507" t="str">
            <v>MUÑOZ CAMACHO MARITZA</v>
          </cell>
        </row>
        <row r="508">
          <cell r="A508">
            <v>38258526</v>
          </cell>
          <cell r="B508" t="str">
            <v>CO</v>
          </cell>
          <cell r="C508" t="str">
            <v>LUZ MARINA RICO NARVAEZ</v>
          </cell>
        </row>
        <row r="509">
          <cell r="A509">
            <v>38261922</v>
          </cell>
          <cell r="B509" t="str">
            <v>CO</v>
          </cell>
          <cell r="C509" t="str">
            <v>TRUJILLO OVALLE PATRICIA</v>
          </cell>
        </row>
        <row r="510">
          <cell r="A510">
            <v>38285322</v>
          </cell>
          <cell r="B510" t="str">
            <v>CO</v>
          </cell>
          <cell r="C510" t="str">
            <v>REYES LEON RITA MERCEDES</v>
          </cell>
        </row>
        <row r="511">
          <cell r="A511">
            <v>39520144</v>
          </cell>
          <cell r="B511" t="str">
            <v>CO</v>
          </cell>
          <cell r="C511" t="str">
            <v>PEÑA PEÑA ELSA SOFIA</v>
          </cell>
        </row>
        <row r="512">
          <cell r="A512">
            <v>39523086</v>
          </cell>
          <cell r="B512" t="str">
            <v>CO</v>
          </cell>
          <cell r="C512" t="str">
            <v>DUEÑAS AMAYA MARLENY CECILIA</v>
          </cell>
        </row>
        <row r="513">
          <cell r="A513">
            <v>39524981</v>
          </cell>
          <cell r="B513" t="str">
            <v>CO</v>
          </cell>
          <cell r="C513" t="str">
            <v>BENAVIDES BARRIOS SORAYA</v>
          </cell>
        </row>
        <row r="514">
          <cell r="A514">
            <v>39563994</v>
          </cell>
          <cell r="B514" t="str">
            <v>CO</v>
          </cell>
          <cell r="C514" t="str">
            <v>NAVARRO LOZANO MARIA ALEXANDRA</v>
          </cell>
        </row>
        <row r="515">
          <cell r="A515">
            <v>39574552</v>
          </cell>
          <cell r="B515" t="str">
            <v>CO</v>
          </cell>
          <cell r="C515" t="str">
            <v>RUIZ SORIANO DIANA CONSTANZA</v>
          </cell>
        </row>
        <row r="516">
          <cell r="A516">
            <v>39625287</v>
          </cell>
          <cell r="B516" t="str">
            <v>CO</v>
          </cell>
          <cell r="C516" t="str">
            <v>MENDEZ VALENCIA RAQUEL</v>
          </cell>
        </row>
        <row r="517">
          <cell r="A517">
            <v>39635377</v>
          </cell>
          <cell r="B517" t="str">
            <v>CO</v>
          </cell>
          <cell r="C517" t="str">
            <v>AVENDAÑO CUBILLOS BLANCA HERMINIA</v>
          </cell>
        </row>
        <row r="518">
          <cell r="A518">
            <v>39674890</v>
          </cell>
          <cell r="B518" t="str">
            <v>CO</v>
          </cell>
          <cell r="C518" t="str">
            <v>ROJAS LINARES ANA SORAIDA</v>
          </cell>
        </row>
        <row r="519">
          <cell r="A519">
            <v>39687600</v>
          </cell>
          <cell r="B519" t="str">
            <v>CO</v>
          </cell>
          <cell r="C519" t="str">
            <v>MEDINA SERNA ADRIANA ANDREA</v>
          </cell>
        </row>
        <row r="520">
          <cell r="A520">
            <v>39694318</v>
          </cell>
          <cell r="B520" t="str">
            <v>CO</v>
          </cell>
          <cell r="C520" t="str">
            <v>CELIS ZABALA NUBIA M</v>
          </cell>
        </row>
        <row r="521">
          <cell r="A521">
            <v>39769218</v>
          </cell>
          <cell r="B521" t="str">
            <v>CO</v>
          </cell>
          <cell r="C521" t="str">
            <v>POSADA RINCON ALCIRA</v>
          </cell>
        </row>
        <row r="522">
          <cell r="A522">
            <v>39769436</v>
          </cell>
          <cell r="B522" t="str">
            <v>CO</v>
          </cell>
          <cell r="C522" t="str">
            <v>GUALTEROS CASTRO CONSUELO</v>
          </cell>
        </row>
        <row r="523">
          <cell r="A523">
            <v>39782216</v>
          </cell>
          <cell r="B523" t="str">
            <v>CO</v>
          </cell>
          <cell r="C523" t="str">
            <v>FORERO RAMIREZ LUZ ALEXANDRA</v>
          </cell>
        </row>
        <row r="524">
          <cell r="A524">
            <v>39800917</v>
          </cell>
          <cell r="B524" t="str">
            <v>CO</v>
          </cell>
          <cell r="C524" t="str">
            <v>YENNY MARIN GARZON</v>
          </cell>
        </row>
        <row r="525">
          <cell r="A525">
            <v>39812449</v>
          </cell>
          <cell r="B525" t="str">
            <v>CO</v>
          </cell>
          <cell r="C525" t="str">
            <v>BEJARANO MORENO ALEJANDRA</v>
          </cell>
        </row>
        <row r="526">
          <cell r="A526">
            <v>40022686</v>
          </cell>
          <cell r="B526" t="str">
            <v>CO</v>
          </cell>
          <cell r="C526" t="str">
            <v>LIBIA HUERTAS BAYONA</v>
          </cell>
        </row>
        <row r="527">
          <cell r="A527">
            <v>40032916</v>
          </cell>
          <cell r="B527" t="str">
            <v>CO</v>
          </cell>
          <cell r="C527" t="str">
            <v>GIL YOLANDA</v>
          </cell>
        </row>
        <row r="528">
          <cell r="A528">
            <v>40042548</v>
          </cell>
          <cell r="B528" t="str">
            <v>CO</v>
          </cell>
          <cell r="C528" t="str">
            <v>PULIDO BAYONA DIANA MARITZA</v>
          </cell>
        </row>
        <row r="529">
          <cell r="A529">
            <v>40046419</v>
          </cell>
          <cell r="B529" t="str">
            <v>CO</v>
          </cell>
          <cell r="C529" t="str">
            <v>SANDOVAL NELLY</v>
          </cell>
        </row>
        <row r="530">
          <cell r="A530">
            <v>40218667</v>
          </cell>
          <cell r="B530" t="str">
            <v>CO</v>
          </cell>
          <cell r="C530" t="str">
            <v>UCHIGAY GINNA PAOLA</v>
          </cell>
        </row>
        <row r="531">
          <cell r="A531">
            <v>40235040</v>
          </cell>
          <cell r="B531" t="str">
            <v>CO</v>
          </cell>
          <cell r="C531" t="str">
            <v>DUEÑAS MORENO MARIA NIVIA</v>
          </cell>
        </row>
        <row r="532">
          <cell r="A532">
            <v>40315047</v>
          </cell>
          <cell r="B532" t="str">
            <v>CO</v>
          </cell>
          <cell r="C532" t="str">
            <v>MARTINEZ MARIA EMMA</v>
          </cell>
        </row>
        <row r="533">
          <cell r="A533">
            <v>40330419</v>
          </cell>
          <cell r="B533" t="str">
            <v>CO</v>
          </cell>
          <cell r="C533" t="str">
            <v>SANCHEZ LOPEZ LINCY VIVIANA</v>
          </cell>
        </row>
        <row r="534">
          <cell r="A534">
            <v>40332492</v>
          </cell>
          <cell r="B534" t="str">
            <v>CO</v>
          </cell>
          <cell r="C534" t="str">
            <v>LEIDY JAZMIN PAVON</v>
          </cell>
        </row>
        <row r="535">
          <cell r="A535">
            <v>40365536</v>
          </cell>
          <cell r="B535" t="str">
            <v>CO</v>
          </cell>
          <cell r="C535" t="str">
            <v>BLANCA PARDO SUAREZ</v>
          </cell>
        </row>
        <row r="536">
          <cell r="A536">
            <v>40370132</v>
          </cell>
          <cell r="B536" t="str">
            <v>CO</v>
          </cell>
          <cell r="C536" t="str">
            <v>SIERRA SIERRA GILMA</v>
          </cell>
        </row>
        <row r="537">
          <cell r="A537">
            <v>40372411</v>
          </cell>
          <cell r="B537" t="str">
            <v>CO</v>
          </cell>
          <cell r="C537" t="str">
            <v>RAMIREZ COLON ALIX ELENA</v>
          </cell>
        </row>
        <row r="538">
          <cell r="A538">
            <v>40378705</v>
          </cell>
          <cell r="B538" t="str">
            <v>CO</v>
          </cell>
          <cell r="C538" t="str">
            <v>MARICEL OCAMPO BETANCURT</v>
          </cell>
        </row>
        <row r="539">
          <cell r="A539">
            <v>40379501</v>
          </cell>
          <cell r="B539" t="str">
            <v>CO</v>
          </cell>
          <cell r="C539" t="str">
            <v>PRIETO RIVERA LILIANA</v>
          </cell>
        </row>
        <row r="540">
          <cell r="A540">
            <v>40382146</v>
          </cell>
          <cell r="B540" t="str">
            <v>CO</v>
          </cell>
          <cell r="C540" t="str">
            <v>MALAVER PADILLA ROSALBA</v>
          </cell>
        </row>
        <row r="541">
          <cell r="A541">
            <v>40389260</v>
          </cell>
          <cell r="B541" t="str">
            <v>CO</v>
          </cell>
          <cell r="C541" t="str">
            <v>RAMIREZ BARBOSA MARTHA AZUCENA</v>
          </cell>
        </row>
        <row r="542">
          <cell r="A542">
            <v>40390984</v>
          </cell>
          <cell r="B542" t="str">
            <v>CO</v>
          </cell>
          <cell r="C542" t="str">
            <v>FLOREZ HERRERA RUBIELA</v>
          </cell>
        </row>
        <row r="543">
          <cell r="A543">
            <v>40391643</v>
          </cell>
          <cell r="B543" t="str">
            <v>CO</v>
          </cell>
          <cell r="C543" t="str">
            <v>MANA ALARCON MARTHA CECILIA</v>
          </cell>
        </row>
        <row r="544">
          <cell r="A544">
            <v>40393268</v>
          </cell>
          <cell r="B544" t="str">
            <v>CO</v>
          </cell>
          <cell r="C544" t="str">
            <v>NOA GONGORA DIANA CAROLINA</v>
          </cell>
        </row>
        <row r="545">
          <cell r="A545">
            <v>40396108</v>
          </cell>
          <cell r="B545" t="str">
            <v>CO</v>
          </cell>
          <cell r="C545" t="str">
            <v>CHAPARRO DIAZ CLAUDIA</v>
          </cell>
        </row>
        <row r="546">
          <cell r="A546">
            <v>40396109</v>
          </cell>
          <cell r="B546" t="str">
            <v>CO</v>
          </cell>
          <cell r="C546" t="str">
            <v>ARDILA FIGUEROA LUCERO</v>
          </cell>
        </row>
        <row r="547">
          <cell r="A547">
            <v>40399139</v>
          </cell>
          <cell r="B547" t="str">
            <v>CO</v>
          </cell>
          <cell r="C547" t="str">
            <v>VERA ARIAS MIRYAM</v>
          </cell>
        </row>
        <row r="548">
          <cell r="A548">
            <v>40404773</v>
          </cell>
          <cell r="B548" t="str">
            <v>CO</v>
          </cell>
          <cell r="C548" t="str">
            <v>SANABRIA DUEÑAS MARIA ROSARIO</v>
          </cell>
        </row>
        <row r="549">
          <cell r="A549">
            <v>40414556</v>
          </cell>
          <cell r="B549" t="str">
            <v>CO</v>
          </cell>
          <cell r="C549" t="str">
            <v>ZULMA AVILA BETANCOUR</v>
          </cell>
        </row>
        <row r="550">
          <cell r="A550">
            <v>40416194</v>
          </cell>
          <cell r="B550" t="str">
            <v>CO</v>
          </cell>
          <cell r="C550" t="str">
            <v>ROJAS LEMUS NUBIA</v>
          </cell>
        </row>
        <row r="551">
          <cell r="A551">
            <v>40417098</v>
          </cell>
          <cell r="B551" t="str">
            <v>CO</v>
          </cell>
          <cell r="C551" t="str">
            <v>CASTAÑO GUTIERREZ JAYDY</v>
          </cell>
        </row>
        <row r="552">
          <cell r="A552">
            <v>40418894</v>
          </cell>
          <cell r="B552" t="str">
            <v>CO</v>
          </cell>
          <cell r="C552" t="str">
            <v>MARTA PATRICIA GUITIERREZ</v>
          </cell>
        </row>
        <row r="553">
          <cell r="A553">
            <v>40441560</v>
          </cell>
          <cell r="B553" t="str">
            <v>CO</v>
          </cell>
          <cell r="C553" t="str">
            <v>LAVERDE AMORTEGUI CRISTINA</v>
          </cell>
        </row>
        <row r="554">
          <cell r="A554">
            <v>40449732</v>
          </cell>
          <cell r="B554" t="str">
            <v>CO</v>
          </cell>
          <cell r="C554" t="str">
            <v>PINEDA QUINTERO YULY PATRICIA</v>
          </cell>
        </row>
        <row r="555">
          <cell r="A555">
            <v>41255143</v>
          </cell>
          <cell r="B555" t="str">
            <v>CO</v>
          </cell>
          <cell r="C555" t="str">
            <v>OLGA CHAPARRO</v>
          </cell>
        </row>
        <row r="556">
          <cell r="A556">
            <v>41370045</v>
          </cell>
          <cell r="B556" t="str">
            <v>CO</v>
          </cell>
          <cell r="C556" t="str">
            <v>LEONOR EUTIMIA ROMERO TABORDA</v>
          </cell>
        </row>
        <row r="557">
          <cell r="A557">
            <v>41401997</v>
          </cell>
          <cell r="B557" t="str">
            <v>CO</v>
          </cell>
          <cell r="C557" t="str">
            <v>SAMPER DE URIBE MARIA CRISTINA</v>
          </cell>
        </row>
        <row r="558">
          <cell r="A558">
            <v>41428906</v>
          </cell>
          <cell r="B558" t="str">
            <v>CO</v>
          </cell>
          <cell r="C558" t="str">
            <v>ROSALBA RIVERA DEL MELGUIZO</v>
          </cell>
        </row>
        <row r="559">
          <cell r="A559">
            <v>41432447</v>
          </cell>
          <cell r="B559" t="str">
            <v>CO</v>
          </cell>
          <cell r="C559" t="str">
            <v>ARACELY LOPEZ</v>
          </cell>
        </row>
        <row r="560">
          <cell r="A560">
            <v>41433414</v>
          </cell>
          <cell r="B560" t="str">
            <v>CO</v>
          </cell>
          <cell r="C560" t="str">
            <v>CLEMENCIA PAREDES</v>
          </cell>
        </row>
        <row r="561">
          <cell r="A561">
            <v>41481595</v>
          </cell>
          <cell r="B561" t="str">
            <v>CO</v>
          </cell>
          <cell r="C561" t="str">
            <v>ANA DELIA MARTINEZ</v>
          </cell>
        </row>
        <row r="562">
          <cell r="A562">
            <v>41570704</v>
          </cell>
          <cell r="B562" t="str">
            <v>CO</v>
          </cell>
          <cell r="C562" t="str">
            <v>FONSECA GLORIA MARCEI</v>
          </cell>
        </row>
        <row r="563">
          <cell r="A563">
            <v>41579138</v>
          </cell>
          <cell r="B563" t="str">
            <v>CO</v>
          </cell>
          <cell r="C563" t="str">
            <v>PINILLA CRUZ SOFIA</v>
          </cell>
        </row>
        <row r="564">
          <cell r="A564">
            <v>41583206</v>
          </cell>
          <cell r="B564" t="str">
            <v>CO</v>
          </cell>
          <cell r="C564" t="str">
            <v>SALAS MAYORGA INES</v>
          </cell>
        </row>
        <row r="565">
          <cell r="A565">
            <v>41583627</v>
          </cell>
          <cell r="B565" t="str">
            <v>CO</v>
          </cell>
          <cell r="C565" t="str">
            <v>FORERO WILCHES ARVIDA MARIA</v>
          </cell>
        </row>
        <row r="566">
          <cell r="A566">
            <v>41590897</v>
          </cell>
          <cell r="B566" t="str">
            <v>CO</v>
          </cell>
          <cell r="C566" t="str">
            <v>MORA STELLA</v>
          </cell>
        </row>
        <row r="567">
          <cell r="A567">
            <v>41607652</v>
          </cell>
          <cell r="B567" t="str">
            <v>CO</v>
          </cell>
          <cell r="C567" t="str">
            <v>QUINTERO BARON ANA GEORGINA</v>
          </cell>
        </row>
        <row r="568">
          <cell r="A568">
            <v>41630799</v>
          </cell>
          <cell r="B568" t="str">
            <v>CO</v>
          </cell>
          <cell r="C568" t="str">
            <v>CARDENAS VELANDIA LUZ MARY</v>
          </cell>
        </row>
        <row r="569">
          <cell r="A569">
            <v>41634599</v>
          </cell>
          <cell r="B569" t="str">
            <v>CO</v>
          </cell>
          <cell r="C569" t="str">
            <v>BLANCA LILIA CASTRO BARBOSA</v>
          </cell>
        </row>
        <row r="570">
          <cell r="A570">
            <v>41650852</v>
          </cell>
          <cell r="B570" t="str">
            <v>CO</v>
          </cell>
          <cell r="C570" t="str">
            <v>VALBUENA CASTRO CARMEN RITA</v>
          </cell>
        </row>
        <row r="571">
          <cell r="A571">
            <v>41666549</v>
          </cell>
          <cell r="B571" t="str">
            <v>CO</v>
          </cell>
          <cell r="C571" t="str">
            <v>BUITRAGO DE VARGAS GLORIA</v>
          </cell>
        </row>
        <row r="572">
          <cell r="A572">
            <v>41676053</v>
          </cell>
          <cell r="B572" t="str">
            <v>CO</v>
          </cell>
          <cell r="C572" t="str">
            <v>PAEZ SANCHEZ NELLY</v>
          </cell>
        </row>
        <row r="573">
          <cell r="A573">
            <v>41693085</v>
          </cell>
          <cell r="B573" t="str">
            <v>CO</v>
          </cell>
          <cell r="C573" t="str">
            <v>MORENO CAMACHO MARIA ESPERANZA</v>
          </cell>
        </row>
        <row r="574">
          <cell r="A574">
            <v>41696164</v>
          </cell>
          <cell r="B574" t="str">
            <v>CO</v>
          </cell>
          <cell r="C574" t="str">
            <v>ANA LUCINDA TOVAR ARIAS</v>
          </cell>
        </row>
        <row r="575">
          <cell r="A575">
            <v>41700306</v>
          </cell>
          <cell r="B575" t="str">
            <v>CO</v>
          </cell>
          <cell r="C575" t="str">
            <v>CONTRERAS CARMEN LILIA</v>
          </cell>
        </row>
        <row r="576">
          <cell r="A576">
            <v>41731080</v>
          </cell>
          <cell r="B576" t="str">
            <v>CO</v>
          </cell>
          <cell r="C576" t="str">
            <v>MANCERA RODRIGUEZ LUZ MARINA</v>
          </cell>
        </row>
        <row r="577">
          <cell r="A577">
            <v>41744318</v>
          </cell>
          <cell r="B577" t="str">
            <v>CO</v>
          </cell>
          <cell r="C577" t="str">
            <v>ULLOA HERRERA CONSUELO EMILCE</v>
          </cell>
        </row>
        <row r="578">
          <cell r="A578">
            <v>41748762</v>
          </cell>
          <cell r="B578" t="str">
            <v>CO</v>
          </cell>
          <cell r="C578" t="str">
            <v>RUIZ DE GONZALEZ ESPERANZA</v>
          </cell>
        </row>
        <row r="579">
          <cell r="A579">
            <v>41766705</v>
          </cell>
          <cell r="B579" t="str">
            <v>CO</v>
          </cell>
          <cell r="C579" t="str">
            <v>MORA FERNANDEZ MARIA INES</v>
          </cell>
        </row>
        <row r="580">
          <cell r="A580">
            <v>41961375</v>
          </cell>
          <cell r="B580" t="str">
            <v>CO</v>
          </cell>
          <cell r="C580" t="str">
            <v>RAMIREZ ANGEL CATALINA</v>
          </cell>
        </row>
        <row r="581">
          <cell r="A581">
            <v>42101347</v>
          </cell>
          <cell r="B581" t="str">
            <v>CO</v>
          </cell>
          <cell r="C581" t="str">
            <v>HENAO GIRALDO LILIAN CLAUDIA</v>
          </cell>
        </row>
        <row r="582">
          <cell r="A582">
            <v>42164274</v>
          </cell>
          <cell r="B582" t="str">
            <v>CO</v>
          </cell>
          <cell r="C582" t="str">
            <v>ALCALDE GUEVARA YEIMY JOHANNA</v>
          </cell>
        </row>
        <row r="583">
          <cell r="A583">
            <v>42821876</v>
          </cell>
          <cell r="B583" t="str">
            <v>CO</v>
          </cell>
          <cell r="C583" t="str">
            <v>CRISTINA RODRIGUEZ PENA</v>
          </cell>
        </row>
        <row r="584">
          <cell r="A584">
            <v>43590872</v>
          </cell>
          <cell r="B584" t="str">
            <v>CO</v>
          </cell>
          <cell r="C584" t="str">
            <v>ROLDAN YEPES ANA MARIA</v>
          </cell>
        </row>
        <row r="585">
          <cell r="A585">
            <v>43901746</v>
          </cell>
          <cell r="B585" t="str">
            <v>CO</v>
          </cell>
          <cell r="C585" t="str">
            <v>BETANCUR PULGARIN KERLLY JOHANA</v>
          </cell>
        </row>
        <row r="586">
          <cell r="A586">
            <v>43920273</v>
          </cell>
          <cell r="B586" t="str">
            <v>CO</v>
          </cell>
          <cell r="C586" t="str">
            <v>SALAZAR RAMIREZ NALLIVE</v>
          </cell>
        </row>
        <row r="587">
          <cell r="A587">
            <v>45460496</v>
          </cell>
          <cell r="B587" t="str">
            <v>CO</v>
          </cell>
          <cell r="C587" t="str">
            <v>MARIA ESTELA OSORIO N</v>
          </cell>
        </row>
        <row r="588">
          <cell r="A588">
            <v>45464886</v>
          </cell>
          <cell r="B588" t="str">
            <v>CO</v>
          </cell>
          <cell r="C588" t="str">
            <v>CARMEN CECILIA ZAMBRANO</v>
          </cell>
        </row>
        <row r="589">
          <cell r="A589">
            <v>45474050</v>
          </cell>
          <cell r="B589" t="str">
            <v>CO</v>
          </cell>
          <cell r="C589" t="str">
            <v>PATERNINA CARRASCAL AMINTA ROSA</v>
          </cell>
        </row>
        <row r="590">
          <cell r="A590">
            <v>45529945</v>
          </cell>
          <cell r="B590" t="str">
            <v>CO</v>
          </cell>
          <cell r="C590" t="str">
            <v>INGRID PATRICIA VELASCO TORRES</v>
          </cell>
        </row>
        <row r="591">
          <cell r="A591">
            <v>45688886</v>
          </cell>
          <cell r="B591" t="str">
            <v>CO</v>
          </cell>
          <cell r="C591" t="str">
            <v>MUÑOZ ALFONSO SANDRA</v>
          </cell>
        </row>
        <row r="592">
          <cell r="A592">
            <v>46353637</v>
          </cell>
          <cell r="B592" t="str">
            <v>CO</v>
          </cell>
          <cell r="C592" t="str">
            <v>CABRERA GILMA</v>
          </cell>
        </row>
        <row r="593">
          <cell r="A593">
            <v>46383097</v>
          </cell>
          <cell r="B593" t="str">
            <v>CO</v>
          </cell>
          <cell r="C593" t="str">
            <v>PESCA MONTAÑA LILI YOHANA</v>
          </cell>
        </row>
        <row r="594">
          <cell r="A594">
            <v>46457819</v>
          </cell>
          <cell r="B594" t="str">
            <v>CO</v>
          </cell>
          <cell r="C594" t="str">
            <v>PINZON MEDRANO ADRIANA MARIA</v>
          </cell>
        </row>
        <row r="595">
          <cell r="A595">
            <v>46641724</v>
          </cell>
          <cell r="B595" t="str">
            <v>CO</v>
          </cell>
          <cell r="C595" t="str">
            <v>MAGDALENA VARGAS ROJAS</v>
          </cell>
        </row>
        <row r="596">
          <cell r="A596">
            <v>46643694</v>
          </cell>
          <cell r="B596" t="str">
            <v>CO</v>
          </cell>
          <cell r="C596" t="str">
            <v>MONSALVE CARDONA LUZ ORMELIDA</v>
          </cell>
        </row>
        <row r="597">
          <cell r="A597">
            <v>46669200</v>
          </cell>
          <cell r="B597" t="str">
            <v>CO</v>
          </cell>
          <cell r="C597" t="str">
            <v>LUZ MARINA ALVARADO</v>
          </cell>
        </row>
        <row r="598">
          <cell r="A598">
            <v>46674923</v>
          </cell>
          <cell r="B598" t="str">
            <v>CO</v>
          </cell>
          <cell r="C598" t="str">
            <v>HIGUERA RODRIGUEZ DIANA CAROLINA</v>
          </cell>
        </row>
        <row r="599">
          <cell r="A599">
            <v>47425026</v>
          </cell>
          <cell r="B599" t="str">
            <v>CO</v>
          </cell>
          <cell r="C599" t="str">
            <v>MARY MARTHA</v>
          </cell>
        </row>
        <row r="600">
          <cell r="A600">
            <v>47430334</v>
          </cell>
          <cell r="B600" t="str">
            <v>CO</v>
          </cell>
          <cell r="C600" t="str">
            <v>CABRERA RINCON NELSI ESPERANZA</v>
          </cell>
        </row>
        <row r="601">
          <cell r="A601">
            <v>47434166</v>
          </cell>
          <cell r="B601" t="str">
            <v>CO</v>
          </cell>
          <cell r="C601" t="str">
            <v>MARLY ELIZABETH MARTINEZ ROA</v>
          </cell>
        </row>
        <row r="602">
          <cell r="A602">
            <v>47437615</v>
          </cell>
          <cell r="B602" t="str">
            <v>CO</v>
          </cell>
          <cell r="C602" t="str">
            <v>GARCIA MORALES RUTH</v>
          </cell>
        </row>
        <row r="603">
          <cell r="A603">
            <v>49687933</v>
          </cell>
          <cell r="B603" t="str">
            <v>CO</v>
          </cell>
          <cell r="C603" t="str">
            <v>ISEDA RAMIREZ DENIS MARIA</v>
          </cell>
        </row>
        <row r="604">
          <cell r="A604">
            <v>51551631</v>
          </cell>
          <cell r="B604" t="str">
            <v>CO</v>
          </cell>
          <cell r="C604" t="str">
            <v>GUTIERREZ LUZ MARINA</v>
          </cell>
        </row>
        <row r="605">
          <cell r="A605">
            <v>51553907</v>
          </cell>
          <cell r="B605" t="str">
            <v>CO</v>
          </cell>
          <cell r="C605" t="str">
            <v>OLIVEROS PUENTES BELEN</v>
          </cell>
        </row>
        <row r="606">
          <cell r="A606">
            <v>51578949</v>
          </cell>
          <cell r="B606" t="str">
            <v>CO</v>
          </cell>
          <cell r="C606" t="str">
            <v>RUIZ PAEZ GLORIA MARIA</v>
          </cell>
        </row>
        <row r="607">
          <cell r="A607">
            <v>51586360</v>
          </cell>
          <cell r="B607" t="str">
            <v>CO</v>
          </cell>
          <cell r="C607" t="str">
            <v>VERGARA HERNANDEZ SARA</v>
          </cell>
        </row>
        <row r="608">
          <cell r="A608">
            <v>51625601</v>
          </cell>
          <cell r="B608" t="str">
            <v>CO</v>
          </cell>
          <cell r="C608" t="str">
            <v>SANCHEZ RESTREPO NELCY DE JESUS</v>
          </cell>
        </row>
        <row r="609">
          <cell r="A609">
            <v>51648557</v>
          </cell>
          <cell r="B609" t="str">
            <v>CO</v>
          </cell>
          <cell r="C609" t="str">
            <v>LATORRE MARIA DEL CARMEN</v>
          </cell>
        </row>
        <row r="610">
          <cell r="A610">
            <v>51654354</v>
          </cell>
          <cell r="B610" t="str">
            <v>CO</v>
          </cell>
          <cell r="C610" t="str">
            <v>PEREZ OLARTE GLADYS</v>
          </cell>
        </row>
        <row r="611">
          <cell r="A611">
            <v>51656691</v>
          </cell>
          <cell r="B611" t="str">
            <v>CO</v>
          </cell>
          <cell r="C611" t="str">
            <v>CADENA FLOR ANGELA</v>
          </cell>
        </row>
        <row r="612">
          <cell r="A612">
            <v>51658854</v>
          </cell>
          <cell r="B612" t="str">
            <v>CO</v>
          </cell>
          <cell r="C612" t="str">
            <v>RUBIO GARCIA ADRIANA</v>
          </cell>
        </row>
        <row r="613">
          <cell r="A613">
            <v>51722175</v>
          </cell>
          <cell r="B613" t="str">
            <v>CO</v>
          </cell>
          <cell r="C613" t="str">
            <v>RESTREPO GRANDA NANCY DEL CARMEN</v>
          </cell>
        </row>
        <row r="614">
          <cell r="A614">
            <v>51725242</v>
          </cell>
          <cell r="B614" t="str">
            <v>CO</v>
          </cell>
          <cell r="C614" t="str">
            <v>HOYOS OLGA LUCIA</v>
          </cell>
        </row>
        <row r="615">
          <cell r="A615">
            <v>51740464</v>
          </cell>
          <cell r="B615" t="str">
            <v>CO</v>
          </cell>
          <cell r="C615" t="str">
            <v>BONILLA SEPULVEDA ROSA ELVIRA</v>
          </cell>
        </row>
        <row r="616">
          <cell r="A616">
            <v>51742182</v>
          </cell>
          <cell r="B616" t="str">
            <v>CO</v>
          </cell>
          <cell r="C616" t="str">
            <v>ALVAREZ OLAYA RUTH FAINORY</v>
          </cell>
        </row>
        <row r="617">
          <cell r="A617">
            <v>51769501</v>
          </cell>
          <cell r="B617" t="str">
            <v>CO</v>
          </cell>
          <cell r="C617" t="str">
            <v>RIAÑO RIAÑO ANA SILVIA</v>
          </cell>
        </row>
        <row r="618">
          <cell r="A618">
            <v>51780390</v>
          </cell>
          <cell r="B618" t="str">
            <v>CO</v>
          </cell>
          <cell r="C618" t="str">
            <v>LEON PINZON MARIA AMPARO</v>
          </cell>
        </row>
        <row r="619">
          <cell r="A619">
            <v>51794627</v>
          </cell>
          <cell r="B619" t="str">
            <v>CO</v>
          </cell>
          <cell r="C619" t="str">
            <v>AMAYA RODRIGUEZ GRACIELA</v>
          </cell>
        </row>
        <row r="620">
          <cell r="A620">
            <v>51799969</v>
          </cell>
          <cell r="B620" t="str">
            <v>CO</v>
          </cell>
          <cell r="C620" t="str">
            <v>PEÑA SANTOYO DAISSY</v>
          </cell>
        </row>
        <row r="621">
          <cell r="A621">
            <v>51834120</v>
          </cell>
          <cell r="B621" t="str">
            <v>CO</v>
          </cell>
          <cell r="C621" t="str">
            <v>INGRID SOCORRO FRYE PADILLA</v>
          </cell>
        </row>
        <row r="622">
          <cell r="A622">
            <v>51847459</v>
          </cell>
          <cell r="B622" t="str">
            <v>CO</v>
          </cell>
          <cell r="C622" t="str">
            <v>ARACELYS YANIT CARVAJAL G</v>
          </cell>
        </row>
        <row r="623">
          <cell r="A623">
            <v>51859321</v>
          </cell>
          <cell r="B623" t="str">
            <v>CO</v>
          </cell>
          <cell r="C623" t="str">
            <v>HERRERA CRUZ RUBY JANETH</v>
          </cell>
        </row>
        <row r="624">
          <cell r="A624">
            <v>51873484</v>
          </cell>
          <cell r="B624" t="str">
            <v>CO</v>
          </cell>
          <cell r="C624" t="str">
            <v>LILIANA MERCHAN CASTELLANOS</v>
          </cell>
        </row>
        <row r="625">
          <cell r="A625">
            <v>51914744</v>
          </cell>
          <cell r="B625" t="str">
            <v>CO</v>
          </cell>
          <cell r="C625" t="str">
            <v>BARON CHAPARRO MARIA TERESA</v>
          </cell>
        </row>
        <row r="626">
          <cell r="A626">
            <v>51918771</v>
          </cell>
          <cell r="B626" t="str">
            <v>CO</v>
          </cell>
          <cell r="C626" t="str">
            <v>QUINTERO SANDRA PATRICIA</v>
          </cell>
        </row>
        <row r="627">
          <cell r="A627">
            <v>51935374</v>
          </cell>
          <cell r="B627" t="str">
            <v>CO</v>
          </cell>
          <cell r="C627" t="str">
            <v>SUDEN RIVERA CRISTINA ALEXANDRA</v>
          </cell>
        </row>
        <row r="628">
          <cell r="A628">
            <v>51936093</v>
          </cell>
          <cell r="B628" t="str">
            <v>CO</v>
          </cell>
          <cell r="C628" t="str">
            <v>MORALES PILAR</v>
          </cell>
        </row>
        <row r="629">
          <cell r="A629">
            <v>51942072</v>
          </cell>
          <cell r="B629" t="str">
            <v>CO</v>
          </cell>
          <cell r="C629" t="str">
            <v>GABRIELA INES MAYA LLANO</v>
          </cell>
        </row>
        <row r="630">
          <cell r="A630">
            <v>51952153</v>
          </cell>
          <cell r="B630" t="str">
            <v>CO</v>
          </cell>
          <cell r="C630" t="str">
            <v>ESTUPIÑAN LOPEZ MARTHA OTILIA</v>
          </cell>
        </row>
        <row r="631">
          <cell r="A631">
            <v>51960421</v>
          </cell>
          <cell r="B631" t="str">
            <v>CO</v>
          </cell>
          <cell r="C631" t="str">
            <v>OTERO CLAUDIA MARCELA</v>
          </cell>
        </row>
        <row r="632">
          <cell r="A632">
            <v>51962651</v>
          </cell>
          <cell r="B632" t="str">
            <v>CO</v>
          </cell>
          <cell r="C632" t="str">
            <v>CERQUERA NUBIA</v>
          </cell>
        </row>
        <row r="633">
          <cell r="A633">
            <v>51981329</v>
          </cell>
          <cell r="B633" t="str">
            <v>CO</v>
          </cell>
          <cell r="C633" t="str">
            <v>BRICEÑO ROMERO CLARA PATRICIA</v>
          </cell>
        </row>
        <row r="634">
          <cell r="A634">
            <v>51997879</v>
          </cell>
          <cell r="B634" t="str">
            <v>CO</v>
          </cell>
          <cell r="C634" t="str">
            <v>CELY QUINTERO FANNY</v>
          </cell>
        </row>
        <row r="635">
          <cell r="A635">
            <v>52083041</v>
          </cell>
          <cell r="B635" t="str">
            <v>CO</v>
          </cell>
          <cell r="C635" t="str">
            <v>CASTIBLANCO SALAS FLOR ANGELA</v>
          </cell>
        </row>
        <row r="636">
          <cell r="A636">
            <v>52085207</v>
          </cell>
          <cell r="B636" t="str">
            <v>CO</v>
          </cell>
          <cell r="C636" t="str">
            <v>MORENO CALDERON MARIA ISABEL</v>
          </cell>
        </row>
        <row r="637">
          <cell r="A637">
            <v>52088085</v>
          </cell>
          <cell r="B637" t="str">
            <v>CO</v>
          </cell>
          <cell r="C637" t="str">
            <v>MUÑOZ NAVAS LYZ MAYERLY</v>
          </cell>
        </row>
        <row r="638">
          <cell r="A638">
            <v>52117212</v>
          </cell>
          <cell r="B638" t="str">
            <v>CO</v>
          </cell>
          <cell r="C638" t="str">
            <v>ESCOBAR MUÑOZ DIANA PATRICIA</v>
          </cell>
        </row>
        <row r="639">
          <cell r="A639">
            <v>52129204</v>
          </cell>
          <cell r="B639" t="str">
            <v>CO</v>
          </cell>
          <cell r="C639" t="str">
            <v>MOLINA QUEVEDO JACQUELINE</v>
          </cell>
        </row>
        <row r="640">
          <cell r="A640">
            <v>52148083</v>
          </cell>
          <cell r="B640" t="str">
            <v>CO</v>
          </cell>
          <cell r="C640" t="str">
            <v>DIANA MARIA ARDILA BUITRAGO</v>
          </cell>
        </row>
        <row r="641">
          <cell r="A641">
            <v>52152073</v>
          </cell>
          <cell r="B641" t="str">
            <v>CO</v>
          </cell>
          <cell r="C641" t="str">
            <v>MARIN LUZ ALEXANDRA</v>
          </cell>
        </row>
        <row r="642">
          <cell r="A642">
            <v>52156120</v>
          </cell>
          <cell r="B642" t="str">
            <v>CO</v>
          </cell>
          <cell r="C642" t="str">
            <v>AVENDAÑO QUINTANA SANDRA LILIANA</v>
          </cell>
        </row>
        <row r="643">
          <cell r="A643">
            <v>52187366</v>
          </cell>
          <cell r="B643" t="str">
            <v>CO</v>
          </cell>
          <cell r="C643" t="str">
            <v>ROCHA JIMENEZ MARTHA LUCIA</v>
          </cell>
        </row>
        <row r="644">
          <cell r="A644">
            <v>52196046</v>
          </cell>
          <cell r="B644" t="str">
            <v>CO</v>
          </cell>
          <cell r="C644" t="str">
            <v>MOYA GUTIERREZ XIOMARA</v>
          </cell>
        </row>
        <row r="645">
          <cell r="A645">
            <v>52203013</v>
          </cell>
          <cell r="B645" t="str">
            <v>CO</v>
          </cell>
          <cell r="C645" t="str">
            <v>RODRIGUEZ LOPEZ MAGDA ROCIO</v>
          </cell>
        </row>
        <row r="646">
          <cell r="A646">
            <v>52216311</v>
          </cell>
          <cell r="B646" t="str">
            <v>CO</v>
          </cell>
          <cell r="C646" t="str">
            <v>SANABRIA ANGELLA</v>
          </cell>
        </row>
        <row r="647">
          <cell r="A647">
            <v>52224386</v>
          </cell>
          <cell r="B647" t="str">
            <v>CO</v>
          </cell>
          <cell r="C647" t="str">
            <v>MIRIAM PEREZ</v>
          </cell>
        </row>
        <row r="648">
          <cell r="A648">
            <v>52230429</v>
          </cell>
          <cell r="B648" t="str">
            <v>CO</v>
          </cell>
          <cell r="C648" t="str">
            <v>CASTRILLON CALVO DIANA MARIA</v>
          </cell>
        </row>
        <row r="649">
          <cell r="A649">
            <v>52240288</v>
          </cell>
          <cell r="B649" t="str">
            <v>CO</v>
          </cell>
          <cell r="C649" t="str">
            <v>VARGAS GONZALEZ ANA DORIS</v>
          </cell>
        </row>
        <row r="650">
          <cell r="A650">
            <v>52273893</v>
          </cell>
          <cell r="B650" t="str">
            <v>CO</v>
          </cell>
          <cell r="C650" t="str">
            <v>MORALES LARA SANDRA PATRICIA</v>
          </cell>
        </row>
        <row r="651">
          <cell r="A651">
            <v>52277201</v>
          </cell>
          <cell r="B651" t="str">
            <v>CO</v>
          </cell>
          <cell r="C651" t="str">
            <v>ALBA LUZ PEREZ PEREZ</v>
          </cell>
        </row>
        <row r="652">
          <cell r="A652">
            <v>52283436</v>
          </cell>
          <cell r="B652" t="str">
            <v>CO</v>
          </cell>
          <cell r="C652" t="str">
            <v>VASQUEZ MURCIA ALEIVI</v>
          </cell>
        </row>
        <row r="653">
          <cell r="A653">
            <v>52285051</v>
          </cell>
          <cell r="B653" t="str">
            <v>CO</v>
          </cell>
          <cell r="C653" t="str">
            <v>ARCINIEGAS MARIA CARMENZA</v>
          </cell>
        </row>
        <row r="654">
          <cell r="A654">
            <v>52295211</v>
          </cell>
          <cell r="B654" t="str">
            <v>CO</v>
          </cell>
          <cell r="C654" t="str">
            <v>GARCIA CARDENAS MARIA ESMERALDA</v>
          </cell>
        </row>
        <row r="655">
          <cell r="A655">
            <v>52328327</v>
          </cell>
          <cell r="B655" t="str">
            <v>CO</v>
          </cell>
          <cell r="C655" t="str">
            <v>RODRIGUEZ FORERO CLAUDIA LILIANA</v>
          </cell>
        </row>
        <row r="656">
          <cell r="A656">
            <v>52345066</v>
          </cell>
          <cell r="B656" t="str">
            <v>CO</v>
          </cell>
          <cell r="C656" t="str">
            <v>ANGELY ALZA MORALES</v>
          </cell>
        </row>
        <row r="657">
          <cell r="A657">
            <v>52426672</v>
          </cell>
          <cell r="B657" t="str">
            <v>CO</v>
          </cell>
          <cell r="C657" t="str">
            <v>MARITZA CUEVAS LARA</v>
          </cell>
        </row>
        <row r="658">
          <cell r="A658">
            <v>52439951</v>
          </cell>
          <cell r="B658" t="str">
            <v>CO</v>
          </cell>
          <cell r="C658" t="str">
            <v>PEREA ARIZA GINA MARCELA</v>
          </cell>
        </row>
        <row r="659">
          <cell r="A659">
            <v>52495710</v>
          </cell>
          <cell r="B659" t="str">
            <v>CO</v>
          </cell>
          <cell r="C659" t="str">
            <v>PINZON ARIAS ANA MARIA</v>
          </cell>
        </row>
        <row r="660">
          <cell r="A660">
            <v>52517383</v>
          </cell>
          <cell r="B660" t="str">
            <v>CO</v>
          </cell>
          <cell r="C660" t="str">
            <v>SANDRA MILENA MORA CASTAÑEDA</v>
          </cell>
        </row>
        <row r="661">
          <cell r="A661">
            <v>52548023</v>
          </cell>
          <cell r="B661" t="str">
            <v>CO</v>
          </cell>
          <cell r="C661" t="str">
            <v>DURAN MONROY ELIZABETH</v>
          </cell>
        </row>
        <row r="662">
          <cell r="A662">
            <v>52548230</v>
          </cell>
          <cell r="B662" t="str">
            <v>CO</v>
          </cell>
          <cell r="C662" t="str">
            <v>ERIKA RODRIGUEZ</v>
          </cell>
        </row>
        <row r="663">
          <cell r="A663">
            <v>52552307</v>
          </cell>
          <cell r="B663" t="str">
            <v>CO</v>
          </cell>
          <cell r="C663" t="str">
            <v>GONZALEZ SANDOVAL MARIA EUGENIA</v>
          </cell>
        </row>
        <row r="664">
          <cell r="A664">
            <v>52620381</v>
          </cell>
          <cell r="B664" t="str">
            <v>CO</v>
          </cell>
          <cell r="C664" t="str">
            <v>ANGULO MINA YOLDIMA</v>
          </cell>
        </row>
        <row r="665">
          <cell r="A665">
            <v>52703375</v>
          </cell>
          <cell r="B665" t="str">
            <v>CO</v>
          </cell>
          <cell r="C665" t="str">
            <v>CASTRILLON SANDRA MILENA</v>
          </cell>
        </row>
        <row r="666">
          <cell r="A666">
            <v>52703479</v>
          </cell>
          <cell r="B666" t="str">
            <v>CO</v>
          </cell>
          <cell r="C666" t="str">
            <v>SILVA ANDREA PEDRAZA</v>
          </cell>
        </row>
        <row r="667">
          <cell r="A667">
            <v>52754499</v>
          </cell>
          <cell r="B667" t="str">
            <v>CO</v>
          </cell>
          <cell r="C667" t="str">
            <v>BELTRAN SIERRA FAIDY YOLANDA</v>
          </cell>
        </row>
        <row r="668">
          <cell r="A668">
            <v>52788021</v>
          </cell>
          <cell r="B668" t="str">
            <v>CO</v>
          </cell>
          <cell r="C668" t="str">
            <v>SIERRA VARGAS DIANA</v>
          </cell>
        </row>
        <row r="669">
          <cell r="A669">
            <v>52801966</v>
          </cell>
          <cell r="B669" t="str">
            <v>CO</v>
          </cell>
          <cell r="C669" t="str">
            <v>LEON FRANCO YUDY MAGALIS</v>
          </cell>
        </row>
        <row r="670">
          <cell r="A670">
            <v>52816086</v>
          </cell>
          <cell r="B670" t="str">
            <v>CO</v>
          </cell>
          <cell r="C670" t="str">
            <v>HERNANDEZ BASTOS DALIA CAROLINA</v>
          </cell>
        </row>
        <row r="671">
          <cell r="A671">
            <v>52822008</v>
          </cell>
          <cell r="B671" t="str">
            <v>CO</v>
          </cell>
          <cell r="C671" t="str">
            <v>GARCIA CESPEDES KAREN STEPHANY</v>
          </cell>
        </row>
        <row r="672">
          <cell r="A672">
            <v>52830435</v>
          </cell>
          <cell r="B672" t="str">
            <v>CO</v>
          </cell>
          <cell r="C672" t="str">
            <v>ANA SILVIA TORRES</v>
          </cell>
        </row>
        <row r="673">
          <cell r="A673">
            <v>52831345</v>
          </cell>
          <cell r="B673" t="str">
            <v>CO</v>
          </cell>
          <cell r="C673" t="str">
            <v>REYES HUERTAS YEIMY JANNEIR</v>
          </cell>
        </row>
        <row r="674">
          <cell r="A674">
            <v>52849876</v>
          </cell>
          <cell r="B674" t="str">
            <v>CO</v>
          </cell>
          <cell r="C674" t="str">
            <v>SIERRA BERNAL LEIDY JHOANNA</v>
          </cell>
        </row>
        <row r="675">
          <cell r="A675">
            <v>52853251</v>
          </cell>
          <cell r="B675" t="str">
            <v>CO</v>
          </cell>
          <cell r="C675" t="str">
            <v>BAUTISTA GOMEZ JANE MARY</v>
          </cell>
        </row>
        <row r="676">
          <cell r="A676">
            <v>52856135</v>
          </cell>
          <cell r="B676" t="str">
            <v>CO</v>
          </cell>
          <cell r="C676" t="str">
            <v>DUARTE GUERRERO CECILIA YANETH</v>
          </cell>
        </row>
        <row r="677">
          <cell r="A677">
            <v>52863954</v>
          </cell>
          <cell r="B677" t="str">
            <v>CO</v>
          </cell>
          <cell r="C677" t="str">
            <v>SARMIENTO MARIA JOSE</v>
          </cell>
        </row>
        <row r="678">
          <cell r="A678">
            <v>52883237</v>
          </cell>
          <cell r="B678" t="str">
            <v>CO</v>
          </cell>
          <cell r="C678" t="str">
            <v>NUÑEZ MARIN MARTHA LUCIA</v>
          </cell>
        </row>
        <row r="679">
          <cell r="A679">
            <v>52902520</v>
          </cell>
          <cell r="B679" t="str">
            <v>CO</v>
          </cell>
          <cell r="C679" t="str">
            <v>SAENZ AGUDELO ADRIANA LISETH</v>
          </cell>
        </row>
        <row r="680">
          <cell r="A680">
            <v>52911296</v>
          </cell>
          <cell r="B680" t="str">
            <v>CO</v>
          </cell>
          <cell r="C680" t="str">
            <v>RODRIGUEZ VARGAS MARTHA BIBIANA</v>
          </cell>
        </row>
        <row r="681">
          <cell r="A681">
            <v>52969555</v>
          </cell>
          <cell r="B681" t="str">
            <v>CO</v>
          </cell>
          <cell r="C681" t="str">
            <v>MARTINEZ DELGADO YORLETH PAOLA</v>
          </cell>
        </row>
        <row r="682">
          <cell r="A682">
            <v>52970640</v>
          </cell>
          <cell r="B682" t="str">
            <v>CO</v>
          </cell>
          <cell r="C682" t="str">
            <v>VELASCO MARTINEZ NELSY ADRIANA</v>
          </cell>
        </row>
        <row r="683">
          <cell r="A683">
            <v>52990624</v>
          </cell>
          <cell r="B683" t="str">
            <v>CO</v>
          </cell>
          <cell r="C683" t="str">
            <v>NATALIE MARIA DRAGO RUBIO</v>
          </cell>
        </row>
        <row r="684">
          <cell r="A684">
            <v>52991141</v>
          </cell>
          <cell r="B684" t="str">
            <v>CO</v>
          </cell>
          <cell r="C684" t="str">
            <v>VILLEGAS PABON ANA MARIA</v>
          </cell>
        </row>
        <row r="685">
          <cell r="A685">
            <v>53010880</v>
          </cell>
          <cell r="B685" t="str">
            <v>CO</v>
          </cell>
          <cell r="C685" t="str">
            <v>CLAUDIA MARCELA BULLA LOPEZ</v>
          </cell>
        </row>
        <row r="686">
          <cell r="A686">
            <v>53013617</v>
          </cell>
          <cell r="B686" t="str">
            <v>CO</v>
          </cell>
          <cell r="C686" t="str">
            <v>LINA YAMILE ROMERO GONZALEZ</v>
          </cell>
        </row>
        <row r="687">
          <cell r="A687">
            <v>53030829</v>
          </cell>
          <cell r="B687" t="str">
            <v>CO</v>
          </cell>
          <cell r="C687" t="str">
            <v>BAUTISTA GOMEZ YINNA PAOLA</v>
          </cell>
        </row>
        <row r="688">
          <cell r="A688">
            <v>53039738</v>
          </cell>
          <cell r="B688" t="str">
            <v>CO</v>
          </cell>
          <cell r="C688" t="str">
            <v>GINNA PAOLA SUAREZ CASTELLANOS</v>
          </cell>
        </row>
        <row r="689">
          <cell r="A689">
            <v>53042225</v>
          </cell>
          <cell r="B689" t="str">
            <v>CO</v>
          </cell>
          <cell r="C689" t="str">
            <v>SONIA MURILLO ZARATE</v>
          </cell>
        </row>
        <row r="690">
          <cell r="A690">
            <v>53047127</v>
          </cell>
          <cell r="B690" t="str">
            <v>CO</v>
          </cell>
          <cell r="C690" t="str">
            <v>AVILA RAMIREZ SANDRA LILIANA</v>
          </cell>
        </row>
        <row r="691">
          <cell r="A691">
            <v>53047466</v>
          </cell>
          <cell r="B691" t="str">
            <v>CO</v>
          </cell>
          <cell r="C691" t="str">
            <v>MORALES RINCON YOHANA</v>
          </cell>
        </row>
        <row r="692">
          <cell r="A692">
            <v>53066234</v>
          </cell>
          <cell r="B692" t="str">
            <v>CO</v>
          </cell>
          <cell r="C692" t="str">
            <v>BALLESTEROS MUÑOZ SAMANDA GISELL</v>
          </cell>
        </row>
        <row r="693">
          <cell r="A693">
            <v>53103143</v>
          </cell>
          <cell r="B693" t="str">
            <v>CO</v>
          </cell>
          <cell r="C693" t="str">
            <v>JENNY ALEJANDRA GUTIÉRREZ</v>
          </cell>
        </row>
        <row r="694">
          <cell r="A694">
            <v>53106016</v>
          </cell>
          <cell r="B694" t="str">
            <v>CO</v>
          </cell>
          <cell r="C694" t="str">
            <v>GOMEZ AGUILAR BLANCA VIVIANA</v>
          </cell>
        </row>
        <row r="695">
          <cell r="A695">
            <v>53121729</v>
          </cell>
          <cell r="B695" t="str">
            <v>CO</v>
          </cell>
          <cell r="C695" t="str">
            <v>TORRES LUZ DALY</v>
          </cell>
        </row>
        <row r="696">
          <cell r="A696">
            <v>53139140</v>
          </cell>
          <cell r="B696" t="str">
            <v>CO</v>
          </cell>
          <cell r="C696" t="str">
            <v>STAR BIKE</v>
          </cell>
        </row>
        <row r="697">
          <cell r="A697">
            <v>55066001</v>
          </cell>
          <cell r="B697" t="str">
            <v>CO</v>
          </cell>
          <cell r="C697" t="str">
            <v>FRANCISCA XIMENA IBARRA QUIGUA</v>
          </cell>
        </row>
        <row r="698">
          <cell r="A698">
            <v>55115262</v>
          </cell>
          <cell r="B698" t="str">
            <v>CO</v>
          </cell>
          <cell r="C698" t="str">
            <v>SUAREZ MELO CONSUELO</v>
          </cell>
        </row>
        <row r="699">
          <cell r="A699">
            <v>55174403</v>
          </cell>
          <cell r="B699" t="str">
            <v>CO</v>
          </cell>
          <cell r="C699" t="str">
            <v>ALBA NARVAEZ</v>
          </cell>
        </row>
        <row r="700">
          <cell r="A700">
            <v>55240957</v>
          </cell>
          <cell r="B700" t="str">
            <v>CO</v>
          </cell>
          <cell r="C700" t="str">
            <v>GOMEZ RUEDA ADRIANA LISETH</v>
          </cell>
        </row>
        <row r="701">
          <cell r="A701">
            <v>57271097</v>
          </cell>
          <cell r="B701" t="str">
            <v>CO</v>
          </cell>
          <cell r="C701" t="str">
            <v>EGUIS PACHECO ANA MELISSA</v>
          </cell>
        </row>
        <row r="702">
          <cell r="A702">
            <v>60383926</v>
          </cell>
          <cell r="B702" t="str">
            <v>CO</v>
          </cell>
          <cell r="C702" t="str">
            <v>MORA RUEDA DIANA PAOLA</v>
          </cell>
        </row>
        <row r="703">
          <cell r="A703">
            <v>63277280</v>
          </cell>
          <cell r="B703" t="str">
            <v>CO</v>
          </cell>
          <cell r="C703" t="str">
            <v>SIERRA DE PICO LUZ MARINA</v>
          </cell>
        </row>
        <row r="704">
          <cell r="A704">
            <v>63277700</v>
          </cell>
          <cell r="B704" t="str">
            <v>CO</v>
          </cell>
          <cell r="C704" t="str">
            <v>YAMILE PABON DE HERNANDEZ</v>
          </cell>
        </row>
        <row r="705">
          <cell r="A705">
            <v>63284353</v>
          </cell>
          <cell r="B705" t="str">
            <v>CO</v>
          </cell>
          <cell r="C705" t="str">
            <v>QUINTERO FUENTES ROSELIA</v>
          </cell>
        </row>
        <row r="706">
          <cell r="A706">
            <v>63319499</v>
          </cell>
          <cell r="B706" t="str">
            <v>CO</v>
          </cell>
          <cell r="C706" t="str">
            <v>ALVAREZ CORONEL CLAUDIA LUCIA</v>
          </cell>
        </row>
        <row r="707">
          <cell r="A707">
            <v>63333090</v>
          </cell>
          <cell r="B707" t="str">
            <v>CO</v>
          </cell>
          <cell r="C707" t="str">
            <v>ZAFRA VARGAS OLGA LUCIA</v>
          </cell>
        </row>
        <row r="708">
          <cell r="A708">
            <v>63360558</v>
          </cell>
          <cell r="B708" t="str">
            <v>CO</v>
          </cell>
          <cell r="C708" t="str">
            <v>HERRERA FRANCY JOHANNA</v>
          </cell>
        </row>
        <row r="709">
          <cell r="A709">
            <v>63435037</v>
          </cell>
          <cell r="B709" t="str">
            <v>CO</v>
          </cell>
          <cell r="C709" t="str">
            <v>ANA BRICEIDA PARDO ARIZA</v>
          </cell>
        </row>
        <row r="710">
          <cell r="A710">
            <v>63440696</v>
          </cell>
          <cell r="B710" t="str">
            <v>CO</v>
          </cell>
          <cell r="C710" t="str">
            <v>LILLO MARIA EMPERATRIS</v>
          </cell>
        </row>
        <row r="711">
          <cell r="A711">
            <v>63453178</v>
          </cell>
          <cell r="B711" t="str">
            <v>CO</v>
          </cell>
          <cell r="C711" t="str">
            <v>SANCHEZ NOHEMI</v>
          </cell>
        </row>
        <row r="712">
          <cell r="A712">
            <v>63455178</v>
          </cell>
          <cell r="B712" t="str">
            <v>CO</v>
          </cell>
          <cell r="C712" t="str">
            <v>SANCHEZ BARAJAS NOHEMI</v>
          </cell>
        </row>
        <row r="713">
          <cell r="A713">
            <v>63456047</v>
          </cell>
          <cell r="B713" t="str">
            <v>CO</v>
          </cell>
          <cell r="C713" t="str">
            <v>CHAVEZ RUIZ YAMILE PATRICIA</v>
          </cell>
        </row>
        <row r="714">
          <cell r="A714">
            <v>63456360</v>
          </cell>
          <cell r="B714" t="str">
            <v>CO</v>
          </cell>
          <cell r="C714" t="str">
            <v>FLOR ALBA MANTILLA MANTILLA</v>
          </cell>
        </row>
        <row r="715">
          <cell r="A715">
            <v>63456520</v>
          </cell>
          <cell r="B715" t="str">
            <v>CO</v>
          </cell>
          <cell r="C715" t="str">
            <v>ARRIETA SAAVEDRA SANDRA</v>
          </cell>
        </row>
        <row r="716">
          <cell r="A716">
            <v>63456636</v>
          </cell>
          <cell r="B716" t="str">
            <v>CO</v>
          </cell>
          <cell r="C716" t="str">
            <v>PALOMINO PEÑUELA PATRICIA</v>
          </cell>
        </row>
        <row r="717">
          <cell r="A717">
            <v>63457435</v>
          </cell>
          <cell r="B717" t="str">
            <v>CO</v>
          </cell>
          <cell r="C717" t="str">
            <v>SILVA BRAVO LUZ DARIS</v>
          </cell>
        </row>
        <row r="718">
          <cell r="A718">
            <v>63457925</v>
          </cell>
          <cell r="B718" t="str">
            <v>CO</v>
          </cell>
          <cell r="C718" t="str">
            <v>NAVARRO BARRIOS MARY LUZ</v>
          </cell>
        </row>
        <row r="719">
          <cell r="A719">
            <v>63460160</v>
          </cell>
          <cell r="B719" t="str">
            <v>CO</v>
          </cell>
          <cell r="C719" t="str">
            <v>OJEDA CHAPARRO MARTHA</v>
          </cell>
        </row>
        <row r="720">
          <cell r="A720">
            <v>63463721</v>
          </cell>
          <cell r="B720" t="str">
            <v>CO</v>
          </cell>
          <cell r="C720" t="str">
            <v>OCHOA MOLINARES ERICA MARIA</v>
          </cell>
        </row>
        <row r="721">
          <cell r="A721">
            <v>63464068</v>
          </cell>
          <cell r="B721" t="str">
            <v>CO</v>
          </cell>
          <cell r="C721" t="str">
            <v>COSSIO PEREZ CLAUDIA PATRICIA</v>
          </cell>
        </row>
        <row r="722">
          <cell r="A722">
            <v>63464490</v>
          </cell>
          <cell r="B722" t="str">
            <v>CO</v>
          </cell>
          <cell r="C722" t="str">
            <v>MARIA DEL PILAR AYALA</v>
          </cell>
        </row>
        <row r="723">
          <cell r="A723">
            <v>63464551</v>
          </cell>
          <cell r="B723" t="str">
            <v>CO</v>
          </cell>
          <cell r="C723" t="str">
            <v>ORTEGA PEREZ RUTH ESTHER</v>
          </cell>
        </row>
        <row r="724">
          <cell r="A724">
            <v>63468485</v>
          </cell>
          <cell r="B724" t="str">
            <v>CO</v>
          </cell>
          <cell r="C724" t="str">
            <v>PEÑA ACOSTA CLAUDIA INES</v>
          </cell>
        </row>
        <row r="725">
          <cell r="A725">
            <v>63470921</v>
          </cell>
          <cell r="B725" t="str">
            <v>CO</v>
          </cell>
          <cell r="C725" t="str">
            <v>JIMENEZ PARADA SANDRA MARIA</v>
          </cell>
        </row>
        <row r="726">
          <cell r="A726">
            <v>63471494</v>
          </cell>
          <cell r="B726" t="str">
            <v>CO</v>
          </cell>
          <cell r="C726" t="str">
            <v>ALVAREZ JAIMES ANA ROCIO</v>
          </cell>
        </row>
        <row r="727">
          <cell r="A727">
            <v>63471630</v>
          </cell>
          <cell r="B727" t="str">
            <v>CO</v>
          </cell>
          <cell r="C727" t="str">
            <v>LUZ MERY PATERNINA TORRES</v>
          </cell>
        </row>
        <row r="728">
          <cell r="A728">
            <v>63472901</v>
          </cell>
          <cell r="B728" t="str">
            <v>CO</v>
          </cell>
          <cell r="C728" t="str">
            <v>RUIZ LEON ANA ELVIA</v>
          </cell>
        </row>
        <row r="729">
          <cell r="A729">
            <v>63473490</v>
          </cell>
          <cell r="B729" t="str">
            <v>CO</v>
          </cell>
          <cell r="C729" t="str">
            <v>MARIA REGINA MENDOZA BARRIOS</v>
          </cell>
        </row>
        <row r="730">
          <cell r="A730">
            <v>63487282</v>
          </cell>
          <cell r="B730" t="str">
            <v>CO</v>
          </cell>
          <cell r="C730" t="str">
            <v>SANDRA LILIANA MONSALVE GOMEZ</v>
          </cell>
        </row>
        <row r="731">
          <cell r="A731">
            <v>63504041</v>
          </cell>
          <cell r="B731" t="str">
            <v>CO</v>
          </cell>
          <cell r="C731" t="str">
            <v>LEAL CORTINEZ SIOMARA</v>
          </cell>
        </row>
        <row r="732">
          <cell r="A732">
            <v>63506941</v>
          </cell>
          <cell r="B732" t="str">
            <v>CO</v>
          </cell>
          <cell r="C732" t="str">
            <v>MARGARITA MORENO MENDOZA</v>
          </cell>
        </row>
        <row r="733">
          <cell r="A733">
            <v>63525001</v>
          </cell>
          <cell r="B733" t="str">
            <v>CO</v>
          </cell>
          <cell r="C733" t="str">
            <v>ANA SILVIA SILVA GALEANO</v>
          </cell>
        </row>
        <row r="734">
          <cell r="A734">
            <v>63527533</v>
          </cell>
          <cell r="B734" t="str">
            <v>CO</v>
          </cell>
          <cell r="C734" t="str">
            <v>PALACIO OSORIO GLORIA JUDITH</v>
          </cell>
        </row>
        <row r="735">
          <cell r="A735">
            <v>63527964</v>
          </cell>
          <cell r="B735" t="str">
            <v>CO</v>
          </cell>
          <cell r="C735" t="str">
            <v>BUSTOS GELVEZ ANDREA PAOLA</v>
          </cell>
        </row>
        <row r="736">
          <cell r="A736">
            <v>63529478</v>
          </cell>
          <cell r="B736" t="str">
            <v>CO</v>
          </cell>
          <cell r="C736" t="str">
            <v>VARGAS HERNANDEZ YADIRA</v>
          </cell>
        </row>
        <row r="737">
          <cell r="A737">
            <v>63545143</v>
          </cell>
          <cell r="B737" t="str">
            <v>CO</v>
          </cell>
          <cell r="C737" t="str">
            <v>NATALIA COLMENARES GONZALEZ</v>
          </cell>
        </row>
        <row r="738">
          <cell r="A738">
            <v>63546160</v>
          </cell>
          <cell r="B738" t="str">
            <v>CO</v>
          </cell>
          <cell r="C738" t="str">
            <v>DAYAN JANETT VALDIVIESO ECHAVARRIA</v>
          </cell>
        </row>
        <row r="739">
          <cell r="A739">
            <v>63547730</v>
          </cell>
          <cell r="B739" t="str">
            <v>CO</v>
          </cell>
          <cell r="C739" t="str">
            <v>PIEDRAHITA GUEVARA MARISOL</v>
          </cell>
        </row>
        <row r="740">
          <cell r="A740">
            <v>63551379</v>
          </cell>
          <cell r="B740" t="str">
            <v>CO</v>
          </cell>
          <cell r="C740" t="str">
            <v>MIRANDA CAICEDO INGRID JOHANA</v>
          </cell>
        </row>
        <row r="741">
          <cell r="A741">
            <v>64579301</v>
          </cell>
          <cell r="B741" t="str">
            <v>CO</v>
          </cell>
          <cell r="C741" t="str">
            <v>MEDINA PORTACIO LILIANA DEL CARMEN</v>
          </cell>
        </row>
        <row r="742">
          <cell r="A742">
            <v>66653517</v>
          </cell>
          <cell r="B742" t="str">
            <v>CO</v>
          </cell>
          <cell r="C742" t="str">
            <v>GARZON CORAL MARIA VICTORIA</v>
          </cell>
        </row>
        <row r="743">
          <cell r="A743">
            <v>66749045</v>
          </cell>
          <cell r="B743" t="str">
            <v>CO</v>
          </cell>
          <cell r="C743" t="str">
            <v>PAZ MOSQUERA JAQUELINE</v>
          </cell>
        </row>
        <row r="744">
          <cell r="A744">
            <v>66852835</v>
          </cell>
          <cell r="B744" t="str">
            <v>CO</v>
          </cell>
          <cell r="C744" t="str">
            <v>GOMEZ ECHEVERRY MORELIA</v>
          </cell>
        </row>
        <row r="745">
          <cell r="A745">
            <v>66963297</v>
          </cell>
          <cell r="B745" t="str">
            <v>CO</v>
          </cell>
          <cell r="C745" t="str">
            <v>LOPEZ PEREZ ZORAIDA VIVIANA</v>
          </cell>
        </row>
        <row r="746">
          <cell r="A746">
            <v>68292230</v>
          </cell>
          <cell r="B746" t="str">
            <v>CO</v>
          </cell>
          <cell r="C746" t="str">
            <v>CALDAS ROSALBA</v>
          </cell>
        </row>
        <row r="747">
          <cell r="A747">
            <v>68294502</v>
          </cell>
          <cell r="B747" t="str">
            <v>CO</v>
          </cell>
          <cell r="C747" t="str">
            <v>ANA MARIA MANTILLA COLMENARES</v>
          </cell>
        </row>
        <row r="748">
          <cell r="A748">
            <v>70077011</v>
          </cell>
          <cell r="B748" t="str">
            <v>CO</v>
          </cell>
          <cell r="C748" t="str">
            <v>RESTREPO JUAN FELIPE</v>
          </cell>
        </row>
        <row r="749">
          <cell r="A749">
            <v>70124588</v>
          </cell>
          <cell r="B749" t="str">
            <v>CO</v>
          </cell>
          <cell r="C749" t="str">
            <v>DIEGO ALFONSO ESTRADA ESTRADA</v>
          </cell>
        </row>
        <row r="750">
          <cell r="A750">
            <v>70163617</v>
          </cell>
          <cell r="B750" t="str">
            <v>CO</v>
          </cell>
          <cell r="C750" t="str">
            <v>OSCAR BENJUMEA TAMAYO</v>
          </cell>
        </row>
        <row r="751">
          <cell r="A751">
            <v>70196218</v>
          </cell>
          <cell r="B751" t="str">
            <v>CO</v>
          </cell>
          <cell r="C751" t="str">
            <v>ESCOBAR MC EWEN ALEJANDRO</v>
          </cell>
        </row>
        <row r="752">
          <cell r="A752">
            <v>70559478</v>
          </cell>
          <cell r="B752" t="str">
            <v>CO</v>
          </cell>
          <cell r="C752" t="str">
            <v>PEREZ CANO CESAR MAURICIO</v>
          </cell>
        </row>
        <row r="753">
          <cell r="A753">
            <v>70694407</v>
          </cell>
          <cell r="B753" t="str">
            <v>CO</v>
          </cell>
          <cell r="C753" t="str">
            <v>ATEHORTUA A. JAIRO HUMBERTO</v>
          </cell>
        </row>
        <row r="754">
          <cell r="A754">
            <v>70811151</v>
          </cell>
          <cell r="B754" t="str">
            <v>CO</v>
          </cell>
          <cell r="C754" t="str">
            <v>SANCHEZ PIEDRAITA ALIRIO ANTONIO</v>
          </cell>
        </row>
        <row r="755">
          <cell r="A755">
            <v>71183023</v>
          </cell>
          <cell r="B755" t="str">
            <v>CO</v>
          </cell>
          <cell r="C755" t="str">
            <v>EZEQUIEL IVAN GALLEGO SOLANO</v>
          </cell>
        </row>
        <row r="756">
          <cell r="A756">
            <v>71332591</v>
          </cell>
          <cell r="B756" t="str">
            <v>CO</v>
          </cell>
          <cell r="C756" t="str">
            <v>RUIZ CANO JOSE AMADOR</v>
          </cell>
        </row>
        <row r="757">
          <cell r="A757">
            <v>71655560</v>
          </cell>
          <cell r="B757" t="str">
            <v>CO</v>
          </cell>
          <cell r="C757" t="str">
            <v>LUIS OSWALDO MARULANDA VALENCIA</v>
          </cell>
        </row>
        <row r="758">
          <cell r="A758">
            <v>71675193</v>
          </cell>
          <cell r="B758" t="str">
            <v>CO</v>
          </cell>
          <cell r="C758" t="str">
            <v>VELASQUEZ GAVIRIA LUIS ALVEIRO</v>
          </cell>
        </row>
        <row r="759">
          <cell r="A759">
            <v>71801526</v>
          </cell>
          <cell r="B759" t="str">
            <v>CO</v>
          </cell>
          <cell r="C759" t="str">
            <v>CRISTANCHO CARMEN</v>
          </cell>
        </row>
        <row r="760">
          <cell r="A760">
            <v>72182243</v>
          </cell>
          <cell r="B760" t="str">
            <v>CO</v>
          </cell>
          <cell r="C760" t="str">
            <v>SUAREZ CARDENAS FABIAN ENRIQUE</v>
          </cell>
        </row>
        <row r="761">
          <cell r="A761">
            <v>72233157</v>
          </cell>
          <cell r="B761" t="str">
            <v>CO</v>
          </cell>
          <cell r="C761" t="str">
            <v>JOHNY STERLING LAVERDE MORALES</v>
          </cell>
        </row>
        <row r="762">
          <cell r="A762">
            <v>72233889</v>
          </cell>
          <cell r="B762" t="str">
            <v>CO</v>
          </cell>
          <cell r="C762" t="str">
            <v>DE BARROS MORA JORGE LUIS</v>
          </cell>
        </row>
        <row r="763">
          <cell r="A763">
            <v>72248651</v>
          </cell>
          <cell r="B763" t="str">
            <v>CO</v>
          </cell>
          <cell r="C763" t="str">
            <v>BAUTISTA CHOLEZ HORACIO</v>
          </cell>
        </row>
        <row r="764">
          <cell r="A764">
            <v>72261864</v>
          </cell>
          <cell r="B764" t="str">
            <v>CO</v>
          </cell>
          <cell r="C764" t="str">
            <v>CALDERON GUTIERREZ ALFREDO ENRIQUE</v>
          </cell>
        </row>
        <row r="765">
          <cell r="A765">
            <v>72263284</v>
          </cell>
          <cell r="B765" t="str">
            <v>CO</v>
          </cell>
          <cell r="C765" t="str">
            <v>CANTILLO ALARCON LUIS FERNANDO</v>
          </cell>
        </row>
        <row r="766">
          <cell r="A766">
            <v>72285470</v>
          </cell>
          <cell r="B766" t="str">
            <v>CO</v>
          </cell>
          <cell r="C766" t="str">
            <v>ALTAMAR DONADO DEIVIS DE JESUS</v>
          </cell>
        </row>
        <row r="767">
          <cell r="A767">
            <v>72325212</v>
          </cell>
          <cell r="B767" t="str">
            <v>CO</v>
          </cell>
          <cell r="C767" t="str">
            <v>PARADA PINEDA RODRIGO ALBERTO</v>
          </cell>
        </row>
        <row r="768">
          <cell r="A768">
            <v>72326297</v>
          </cell>
          <cell r="B768" t="str">
            <v>CO</v>
          </cell>
          <cell r="C768" t="str">
            <v>GUERRERO SOLER EDILBERTO</v>
          </cell>
        </row>
        <row r="769">
          <cell r="A769">
            <v>73006056</v>
          </cell>
          <cell r="B769" t="str">
            <v>CO</v>
          </cell>
          <cell r="C769" t="str">
            <v>FABIAN ALEXIS OLAVE NUÑEZ</v>
          </cell>
        </row>
        <row r="770">
          <cell r="A770">
            <v>73126209</v>
          </cell>
          <cell r="B770" t="str">
            <v>CO</v>
          </cell>
          <cell r="C770" t="str">
            <v>EDWIN RODRIGUEZ CORRALES</v>
          </cell>
        </row>
        <row r="771">
          <cell r="A771">
            <v>73160051</v>
          </cell>
          <cell r="B771" t="str">
            <v>CO</v>
          </cell>
          <cell r="C771" t="str">
            <v>MARTINEZ FILOZ RICHARD</v>
          </cell>
        </row>
        <row r="772">
          <cell r="A772">
            <v>73185517</v>
          </cell>
          <cell r="B772" t="str">
            <v>CO</v>
          </cell>
          <cell r="C772" t="str">
            <v>CASTILLO PELUFFO CRISTIAN ISAAC</v>
          </cell>
        </row>
        <row r="773">
          <cell r="A773">
            <v>73199069</v>
          </cell>
          <cell r="B773" t="str">
            <v>CO</v>
          </cell>
          <cell r="C773" t="str">
            <v>CABRERA CABARCAS JORGE ABSALON</v>
          </cell>
        </row>
        <row r="774">
          <cell r="A774">
            <v>73202767</v>
          </cell>
          <cell r="B774" t="str">
            <v>CO</v>
          </cell>
          <cell r="C774" t="str">
            <v>MERLANO ALVARO</v>
          </cell>
        </row>
        <row r="775">
          <cell r="A775">
            <v>73205707</v>
          </cell>
          <cell r="B775" t="str">
            <v>CO</v>
          </cell>
          <cell r="C775" t="str">
            <v>CUADRADO CASTILLO JONATHAN</v>
          </cell>
        </row>
        <row r="776">
          <cell r="A776">
            <v>73558360</v>
          </cell>
          <cell r="B776" t="str">
            <v>CO</v>
          </cell>
          <cell r="C776" t="str">
            <v>PAYARES TORRES MARIO ENRIQUE</v>
          </cell>
        </row>
        <row r="777">
          <cell r="A777">
            <v>73623222</v>
          </cell>
          <cell r="B777" t="str">
            <v>CO</v>
          </cell>
          <cell r="C777" t="str">
            <v>CONTRERAS BAUTISTA GERMAN</v>
          </cell>
        </row>
        <row r="778">
          <cell r="A778">
            <v>74083283</v>
          </cell>
          <cell r="B778" t="str">
            <v>CO</v>
          </cell>
          <cell r="C778" t="str">
            <v>SANCHEZ BARRERA LUIS GABRIEL</v>
          </cell>
        </row>
        <row r="779">
          <cell r="A779">
            <v>74084465</v>
          </cell>
          <cell r="B779" t="str">
            <v>CO</v>
          </cell>
          <cell r="C779" t="str">
            <v>NESTOR FERNANDO BARRERA LEON</v>
          </cell>
        </row>
        <row r="780">
          <cell r="A780">
            <v>74084626</v>
          </cell>
          <cell r="B780" t="str">
            <v>CO</v>
          </cell>
          <cell r="C780" t="str">
            <v>SANCHEZ BARRERA WILLIAM ANDRES</v>
          </cell>
        </row>
        <row r="781">
          <cell r="A781">
            <v>74184176</v>
          </cell>
          <cell r="B781" t="str">
            <v>CO</v>
          </cell>
          <cell r="C781" t="str">
            <v>CASTILLO PARADA JAIRO ALEXANDER</v>
          </cell>
        </row>
        <row r="782">
          <cell r="A782">
            <v>74184718</v>
          </cell>
          <cell r="B782" t="str">
            <v>CO</v>
          </cell>
          <cell r="C782" t="str">
            <v>JOHN CARLOS MESA RINCON</v>
          </cell>
        </row>
        <row r="783">
          <cell r="A783">
            <v>74184789</v>
          </cell>
          <cell r="B783" t="str">
            <v>CO</v>
          </cell>
          <cell r="C783" t="str">
            <v>FAUSTO JAVIER SUAREZ</v>
          </cell>
        </row>
        <row r="784">
          <cell r="A784">
            <v>74184801</v>
          </cell>
          <cell r="B784" t="str">
            <v>CO</v>
          </cell>
          <cell r="C784" t="str">
            <v>VILLATE MERCHAN IVAN LEONARDO</v>
          </cell>
        </row>
        <row r="785">
          <cell r="A785">
            <v>74188502</v>
          </cell>
          <cell r="B785" t="str">
            <v>CO</v>
          </cell>
          <cell r="C785" t="str">
            <v>GIL ALVAREZ JAVIER</v>
          </cell>
        </row>
        <row r="786">
          <cell r="A786">
            <v>74242054</v>
          </cell>
          <cell r="B786" t="str">
            <v>CO</v>
          </cell>
          <cell r="C786" t="str">
            <v>ROPERO MALAGON NELSON</v>
          </cell>
        </row>
        <row r="787">
          <cell r="A787">
            <v>74245599</v>
          </cell>
          <cell r="B787" t="str">
            <v>CO</v>
          </cell>
          <cell r="C787" t="str">
            <v>LA BRASA AL ROJO</v>
          </cell>
        </row>
        <row r="788">
          <cell r="A788">
            <v>74270562</v>
          </cell>
          <cell r="B788" t="str">
            <v>CO</v>
          </cell>
          <cell r="C788" t="str">
            <v>AMAYA MARQUEZ JOSE MANUEL</v>
          </cell>
        </row>
        <row r="789">
          <cell r="A789">
            <v>74281553</v>
          </cell>
          <cell r="B789" t="str">
            <v>CO</v>
          </cell>
          <cell r="C789" t="str">
            <v>CHALA BOHORQUEZ HERMEN URALDO</v>
          </cell>
        </row>
        <row r="790">
          <cell r="A790">
            <v>74281686</v>
          </cell>
          <cell r="B790" t="str">
            <v>CO</v>
          </cell>
          <cell r="C790" t="str">
            <v>RAMIREZ MARTIN MAURICIO</v>
          </cell>
        </row>
        <row r="791">
          <cell r="A791">
            <v>74282808</v>
          </cell>
          <cell r="B791" t="str">
            <v>CO</v>
          </cell>
          <cell r="C791" t="str">
            <v>YEISON FERNEY MORENO FUENTES</v>
          </cell>
        </row>
        <row r="792">
          <cell r="A792">
            <v>74322686</v>
          </cell>
          <cell r="B792" t="str">
            <v>CO</v>
          </cell>
          <cell r="C792" t="str">
            <v>ZANGUÑA FONSECA JULIO ERNESTO</v>
          </cell>
        </row>
        <row r="793">
          <cell r="A793">
            <v>74324590</v>
          </cell>
          <cell r="B793" t="str">
            <v>CO</v>
          </cell>
          <cell r="C793" t="str">
            <v>GOMEZ VERGARA JOSE FLORENCIO</v>
          </cell>
        </row>
        <row r="794">
          <cell r="A794">
            <v>74324721</v>
          </cell>
          <cell r="B794" t="str">
            <v>CO</v>
          </cell>
          <cell r="C794" t="str">
            <v>PERILLA FRANCISCO ADOLFO</v>
          </cell>
        </row>
        <row r="795">
          <cell r="A795">
            <v>74325605</v>
          </cell>
          <cell r="B795" t="str">
            <v>CO</v>
          </cell>
          <cell r="C795" t="str">
            <v>ZAMBRANO PORRAS HEISON</v>
          </cell>
        </row>
        <row r="796">
          <cell r="A796">
            <v>74325697</v>
          </cell>
          <cell r="B796" t="str">
            <v>CO</v>
          </cell>
          <cell r="C796" t="str">
            <v>PARDO ALGARRA JOSE ALEXANDER</v>
          </cell>
        </row>
        <row r="797">
          <cell r="A797">
            <v>74345014</v>
          </cell>
          <cell r="B797" t="str">
            <v>CO</v>
          </cell>
          <cell r="C797" t="str">
            <v>GERARDO ALFONSO CHISTANCHO ALFONSO</v>
          </cell>
        </row>
        <row r="798">
          <cell r="A798">
            <v>74375764</v>
          </cell>
          <cell r="B798" t="str">
            <v>CO</v>
          </cell>
          <cell r="C798" t="str">
            <v>HIGUERA RODRIGUEZ HENRY JORGE</v>
          </cell>
        </row>
        <row r="799">
          <cell r="A799">
            <v>74376548</v>
          </cell>
          <cell r="B799" t="str">
            <v>CO</v>
          </cell>
          <cell r="C799" t="str">
            <v>FREDY LEONARDO NITOLA CORREDOR</v>
          </cell>
        </row>
        <row r="800">
          <cell r="A800">
            <v>74378806</v>
          </cell>
          <cell r="B800" t="str">
            <v>CO</v>
          </cell>
          <cell r="C800" t="str">
            <v>MORENO RODRIGUEZ LUIS EMILIO</v>
          </cell>
        </row>
        <row r="801">
          <cell r="A801">
            <v>74446224</v>
          </cell>
          <cell r="B801" t="str">
            <v>CO</v>
          </cell>
          <cell r="C801" t="str">
            <v>DELGADO BOHORQUEZ DIEGO ALEJANDRO</v>
          </cell>
        </row>
        <row r="802">
          <cell r="A802">
            <v>74753180</v>
          </cell>
          <cell r="B802" t="str">
            <v>CO</v>
          </cell>
          <cell r="C802" t="str">
            <v>LUIS DAVID VENEGAS CARBAJAL</v>
          </cell>
        </row>
        <row r="803">
          <cell r="A803">
            <v>74847068</v>
          </cell>
          <cell r="B803" t="str">
            <v>CO</v>
          </cell>
          <cell r="C803" t="str">
            <v>MARIO VARGAS PRIETO</v>
          </cell>
        </row>
        <row r="804">
          <cell r="A804">
            <v>74847245</v>
          </cell>
          <cell r="B804" t="str">
            <v>CO</v>
          </cell>
          <cell r="C804" t="str">
            <v>JORGE ANTONIO MONROY PEDRAZA</v>
          </cell>
        </row>
        <row r="805">
          <cell r="A805">
            <v>74847438</v>
          </cell>
          <cell r="B805" t="str">
            <v>CO</v>
          </cell>
          <cell r="C805" t="str">
            <v>JHON ALBEIRO DURAN</v>
          </cell>
        </row>
        <row r="806">
          <cell r="A806">
            <v>74847616</v>
          </cell>
          <cell r="B806" t="str">
            <v>CO</v>
          </cell>
          <cell r="C806" t="str">
            <v>RODRIGUEZ ESTUPIÑAN JUAN FREDY</v>
          </cell>
        </row>
        <row r="807">
          <cell r="A807">
            <v>74849296</v>
          </cell>
          <cell r="B807" t="str">
            <v>CO</v>
          </cell>
          <cell r="C807" t="str">
            <v>CHURION ROJAS ROLANDO</v>
          </cell>
        </row>
        <row r="808">
          <cell r="A808">
            <v>74866239</v>
          </cell>
          <cell r="B808" t="str">
            <v>CO</v>
          </cell>
          <cell r="C808" t="str">
            <v>JOSE WOLMAN PARRA</v>
          </cell>
        </row>
        <row r="809">
          <cell r="A809">
            <v>74866401</v>
          </cell>
          <cell r="B809" t="str">
            <v>CO</v>
          </cell>
          <cell r="C809" t="str">
            <v>DIEGO FABIAN PEREZ OCHOA</v>
          </cell>
        </row>
        <row r="810">
          <cell r="A810">
            <v>75091590</v>
          </cell>
          <cell r="B810" t="str">
            <v>CO</v>
          </cell>
          <cell r="C810" t="str">
            <v>HERNANDEZ VILLA ALEXANDER</v>
          </cell>
        </row>
        <row r="811">
          <cell r="A811">
            <v>75100597</v>
          </cell>
          <cell r="B811" t="str">
            <v>CO</v>
          </cell>
          <cell r="C811" t="str">
            <v>LOPEZ NOVOA JHON FREDY</v>
          </cell>
        </row>
        <row r="812">
          <cell r="A812">
            <v>75103976</v>
          </cell>
          <cell r="B812" t="str">
            <v>CO</v>
          </cell>
          <cell r="C812" t="str">
            <v>LOMBANA BEDOYA JHON EDINSON</v>
          </cell>
        </row>
        <row r="813">
          <cell r="A813">
            <v>76292491</v>
          </cell>
          <cell r="B813" t="str">
            <v>CO</v>
          </cell>
          <cell r="C813" t="str">
            <v>SANCHEZ REYES SANDER ARVEY</v>
          </cell>
        </row>
        <row r="814">
          <cell r="A814">
            <v>79061691</v>
          </cell>
          <cell r="B814" t="str">
            <v>CO</v>
          </cell>
          <cell r="C814" t="str">
            <v>GERARDO VARGAS TELLEZ</v>
          </cell>
        </row>
        <row r="815">
          <cell r="A815">
            <v>79115260</v>
          </cell>
          <cell r="B815" t="str">
            <v>CO</v>
          </cell>
          <cell r="C815" t="str">
            <v>ZULUAGA ALFREDO</v>
          </cell>
        </row>
        <row r="816">
          <cell r="A816">
            <v>79132578</v>
          </cell>
          <cell r="B816" t="str">
            <v>CO</v>
          </cell>
          <cell r="C816" t="str">
            <v>LUIS JAVIER JURADO SEGURA</v>
          </cell>
        </row>
        <row r="817">
          <cell r="A817">
            <v>79165384</v>
          </cell>
          <cell r="B817" t="str">
            <v>CO</v>
          </cell>
          <cell r="C817" t="str">
            <v>NAVARRETE HURTADO JOSE</v>
          </cell>
        </row>
        <row r="818">
          <cell r="A818">
            <v>79204895</v>
          </cell>
          <cell r="B818" t="str">
            <v>CO</v>
          </cell>
          <cell r="C818" t="str">
            <v>HERRERA VELANDIA ANGEL EDUARDO</v>
          </cell>
        </row>
        <row r="819">
          <cell r="A819">
            <v>79233496</v>
          </cell>
          <cell r="B819" t="str">
            <v>CO</v>
          </cell>
          <cell r="C819" t="str">
            <v>NESTOR GARCIA MONTALVO</v>
          </cell>
        </row>
        <row r="820">
          <cell r="A820">
            <v>79237741</v>
          </cell>
          <cell r="B820" t="str">
            <v>CO</v>
          </cell>
          <cell r="C820" t="str">
            <v>CORONEL CAMARGO PEDRO ANTONIO</v>
          </cell>
        </row>
        <row r="821">
          <cell r="A821">
            <v>79240273</v>
          </cell>
          <cell r="B821" t="str">
            <v>CO</v>
          </cell>
          <cell r="C821" t="str">
            <v>MARTINEZ ESPINOSA ERNESTO</v>
          </cell>
        </row>
        <row r="822">
          <cell r="A822">
            <v>79241377</v>
          </cell>
          <cell r="B822" t="str">
            <v>CO</v>
          </cell>
          <cell r="C822" t="str">
            <v>JOSE BUITRAGO FRANCO</v>
          </cell>
        </row>
        <row r="823">
          <cell r="A823">
            <v>79242946</v>
          </cell>
          <cell r="B823" t="str">
            <v>CO</v>
          </cell>
          <cell r="C823" t="str">
            <v>FORERO VIRGUEZ EDGAR</v>
          </cell>
        </row>
        <row r="824">
          <cell r="A824">
            <v>79248810</v>
          </cell>
          <cell r="B824" t="str">
            <v>CO</v>
          </cell>
          <cell r="C824" t="str">
            <v>MEJIA LAGUNA JUAN FERNANDO</v>
          </cell>
        </row>
        <row r="825">
          <cell r="A825">
            <v>79249647</v>
          </cell>
          <cell r="B825" t="str">
            <v>CO</v>
          </cell>
          <cell r="C825" t="str">
            <v>CORTES RINCON OMAR HERNANDO</v>
          </cell>
        </row>
        <row r="826">
          <cell r="A826">
            <v>79285405</v>
          </cell>
          <cell r="B826" t="str">
            <v>CO</v>
          </cell>
          <cell r="C826" t="str">
            <v>OTERO GALAN OSCAR</v>
          </cell>
        </row>
        <row r="827">
          <cell r="A827">
            <v>79286434</v>
          </cell>
          <cell r="B827" t="str">
            <v>CO</v>
          </cell>
          <cell r="C827" t="str">
            <v>HUERFANO CEDIEL WILSON</v>
          </cell>
        </row>
        <row r="828">
          <cell r="A828">
            <v>79298124</v>
          </cell>
          <cell r="B828" t="str">
            <v>CO</v>
          </cell>
          <cell r="C828" t="str">
            <v>MENDOZA REINA LUIS ALEJANDRO</v>
          </cell>
        </row>
        <row r="829">
          <cell r="A829">
            <v>79301328</v>
          </cell>
          <cell r="B829" t="str">
            <v>CO</v>
          </cell>
          <cell r="C829" t="str">
            <v>PINEDA PINEDA SEGUNDO MIGUEL</v>
          </cell>
        </row>
        <row r="830">
          <cell r="A830">
            <v>79306173</v>
          </cell>
          <cell r="B830" t="str">
            <v>CO</v>
          </cell>
          <cell r="C830" t="str">
            <v>BARRAGAN TOBAR GABRIEL</v>
          </cell>
        </row>
        <row r="831">
          <cell r="A831">
            <v>79309152</v>
          </cell>
          <cell r="B831" t="str">
            <v>CO</v>
          </cell>
          <cell r="C831" t="str">
            <v>ALBERTO ORTIZ SANCHEZ</v>
          </cell>
        </row>
        <row r="832">
          <cell r="A832">
            <v>79318467</v>
          </cell>
          <cell r="B832" t="str">
            <v>CO</v>
          </cell>
          <cell r="C832" t="str">
            <v>FRANCISCO GUILLERMO TORRES</v>
          </cell>
        </row>
        <row r="833">
          <cell r="A833">
            <v>79345553</v>
          </cell>
          <cell r="B833" t="str">
            <v>CO</v>
          </cell>
          <cell r="C833" t="str">
            <v>DELGADO JAVIER</v>
          </cell>
        </row>
        <row r="834">
          <cell r="A834">
            <v>79346141</v>
          </cell>
          <cell r="B834" t="str">
            <v>CO</v>
          </cell>
          <cell r="C834" t="str">
            <v>PINZON MOISES</v>
          </cell>
        </row>
        <row r="835">
          <cell r="A835">
            <v>79346149</v>
          </cell>
          <cell r="B835" t="str">
            <v>CO</v>
          </cell>
          <cell r="C835" t="str">
            <v>PINZON MOISES</v>
          </cell>
        </row>
        <row r="836">
          <cell r="A836">
            <v>79354989</v>
          </cell>
          <cell r="B836" t="str">
            <v>CO</v>
          </cell>
          <cell r="C836" t="str">
            <v>RIVAS GONZALEZ ANTONIO ALDEMAR</v>
          </cell>
        </row>
        <row r="837">
          <cell r="A837">
            <v>79364695</v>
          </cell>
          <cell r="B837" t="str">
            <v>CO</v>
          </cell>
          <cell r="C837" t="str">
            <v>LOPEZ ORTEGON FELIX ALEXANDER</v>
          </cell>
        </row>
        <row r="838">
          <cell r="A838">
            <v>79367983</v>
          </cell>
          <cell r="B838" t="str">
            <v>CO</v>
          </cell>
          <cell r="C838" t="str">
            <v>PRIETO NESTOR RICARDO</v>
          </cell>
        </row>
        <row r="839">
          <cell r="A839">
            <v>79383516</v>
          </cell>
          <cell r="B839" t="str">
            <v>CO</v>
          </cell>
          <cell r="C839" t="str">
            <v>MAURICIO PATIÑO</v>
          </cell>
        </row>
        <row r="840">
          <cell r="A840">
            <v>79386978</v>
          </cell>
          <cell r="B840" t="str">
            <v>CO</v>
          </cell>
          <cell r="C840" t="str">
            <v>PEDRO VICENTE RUIZ SOLANO</v>
          </cell>
        </row>
        <row r="841">
          <cell r="A841">
            <v>79390197</v>
          </cell>
          <cell r="B841" t="str">
            <v>CO</v>
          </cell>
          <cell r="C841" t="str">
            <v>NAVARRO LIBARDO</v>
          </cell>
        </row>
        <row r="842">
          <cell r="A842">
            <v>79394624</v>
          </cell>
          <cell r="B842" t="str">
            <v>CO</v>
          </cell>
          <cell r="C842" t="str">
            <v>LUIS GERONIMO FAJARDO PARRA</v>
          </cell>
        </row>
        <row r="843">
          <cell r="A843">
            <v>79395932</v>
          </cell>
          <cell r="B843" t="str">
            <v>CO</v>
          </cell>
          <cell r="C843" t="str">
            <v>EDUARDO ALONSO PLATA MALDONADO</v>
          </cell>
        </row>
        <row r="844">
          <cell r="A844">
            <v>79397972</v>
          </cell>
          <cell r="B844" t="str">
            <v>CO</v>
          </cell>
          <cell r="C844" t="str">
            <v>HUERTAS BUITRAGO LUIS FERNANDO</v>
          </cell>
        </row>
        <row r="845">
          <cell r="A845">
            <v>79401572</v>
          </cell>
          <cell r="B845" t="str">
            <v>CO</v>
          </cell>
          <cell r="C845" t="str">
            <v>MENESES MORA OMAR EDUARDO</v>
          </cell>
        </row>
        <row r="846">
          <cell r="A846">
            <v>79403058</v>
          </cell>
          <cell r="B846" t="str">
            <v>CO</v>
          </cell>
          <cell r="C846" t="str">
            <v>LUIS ALBERTO ROJAS VALDERRAMA</v>
          </cell>
        </row>
        <row r="847">
          <cell r="A847">
            <v>79418647</v>
          </cell>
          <cell r="B847" t="str">
            <v>CO</v>
          </cell>
          <cell r="C847" t="str">
            <v>MENDIETA PEDRO NEL</v>
          </cell>
        </row>
        <row r="848">
          <cell r="A848">
            <v>79420268</v>
          </cell>
          <cell r="B848" t="str">
            <v>CO</v>
          </cell>
          <cell r="C848" t="str">
            <v>ROJAS CARLOS ARTURO</v>
          </cell>
        </row>
        <row r="849">
          <cell r="A849">
            <v>79430925</v>
          </cell>
          <cell r="B849" t="str">
            <v>CO</v>
          </cell>
          <cell r="C849" t="str">
            <v>CERQUERA GAITAN FREDY ORLANDO</v>
          </cell>
        </row>
        <row r="850">
          <cell r="A850">
            <v>79435250</v>
          </cell>
          <cell r="B850" t="str">
            <v>CO</v>
          </cell>
          <cell r="C850" t="str">
            <v>JIMENEZ ARIAS LUIS HERNANDO</v>
          </cell>
        </row>
        <row r="851">
          <cell r="A851">
            <v>79462116</v>
          </cell>
          <cell r="B851" t="str">
            <v>CO</v>
          </cell>
          <cell r="C851" t="str">
            <v>HERRERA RUBIANO ALOIS ANTONIO</v>
          </cell>
        </row>
        <row r="852">
          <cell r="A852">
            <v>79474029</v>
          </cell>
          <cell r="B852" t="str">
            <v>CO</v>
          </cell>
          <cell r="C852" t="str">
            <v>CORRALES ACEVEDO ANDRES</v>
          </cell>
        </row>
        <row r="853">
          <cell r="A853">
            <v>79481666</v>
          </cell>
          <cell r="B853" t="str">
            <v>CO</v>
          </cell>
          <cell r="C853" t="str">
            <v>CALDERON VICTOR HUGO</v>
          </cell>
        </row>
        <row r="854">
          <cell r="A854">
            <v>79487140</v>
          </cell>
          <cell r="B854" t="str">
            <v>CO</v>
          </cell>
          <cell r="C854" t="str">
            <v>GUTIERREZ RODRIGUEZ RENE AGUSTIN</v>
          </cell>
        </row>
        <row r="855">
          <cell r="A855">
            <v>79488063</v>
          </cell>
          <cell r="B855" t="str">
            <v>CO</v>
          </cell>
          <cell r="C855" t="str">
            <v>CUESTA RIAÑO FREDDY ORLANDO</v>
          </cell>
        </row>
        <row r="856">
          <cell r="A856">
            <v>79513022</v>
          </cell>
          <cell r="B856" t="str">
            <v>CO</v>
          </cell>
          <cell r="C856" t="str">
            <v>WILSON JAVIER MORALES V</v>
          </cell>
        </row>
        <row r="857">
          <cell r="A857">
            <v>79521916</v>
          </cell>
          <cell r="B857" t="str">
            <v>CO</v>
          </cell>
          <cell r="C857" t="str">
            <v>SILVA SANABRIA JOSE DARIO</v>
          </cell>
        </row>
        <row r="858">
          <cell r="A858">
            <v>79554620</v>
          </cell>
          <cell r="B858" t="str">
            <v>CO</v>
          </cell>
          <cell r="C858" t="str">
            <v>SANTAMARIA CARDOZO CARLOS ALBERTO</v>
          </cell>
        </row>
        <row r="859">
          <cell r="A859">
            <v>79567248</v>
          </cell>
          <cell r="B859" t="str">
            <v>CO</v>
          </cell>
          <cell r="C859" t="str">
            <v>CERON PRADA ARNOLDO ALONSO</v>
          </cell>
        </row>
        <row r="860">
          <cell r="A860">
            <v>79568060</v>
          </cell>
          <cell r="B860" t="str">
            <v>CO</v>
          </cell>
          <cell r="C860" t="str">
            <v>CARLOS J. PILONIETA C.</v>
          </cell>
        </row>
        <row r="861">
          <cell r="A861">
            <v>79576329</v>
          </cell>
          <cell r="B861" t="str">
            <v>CO</v>
          </cell>
          <cell r="C861" t="str">
            <v>DIAZ RAUL</v>
          </cell>
        </row>
        <row r="862">
          <cell r="A862">
            <v>79581027</v>
          </cell>
          <cell r="B862" t="str">
            <v>CO</v>
          </cell>
          <cell r="C862" t="str">
            <v>MICHEL GIOVANNI RINCON GANTIVA</v>
          </cell>
        </row>
        <row r="863">
          <cell r="A863">
            <v>79581077</v>
          </cell>
          <cell r="B863" t="str">
            <v>CO</v>
          </cell>
          <cell r="C863" t="str">
            <v>LEONARDO TRIVIÑO AMADO</v>
          </cell>
        </row>
        <row r="864">
          <cell r="A864">
            <v>79581554</v>
          </cell>
          <cell r="B864" t="str">
            <v>CO</v>
          </cell>
          <cell r="C864" t="str">
            <v>DUEÑAS CARDENAS MAURICIO ANTONIO</v>
          </cell>
        </row>
        <row r="865">
          <cell r="A865">
            <v>79583606</v>
          </cell>
          <cell r="B865" t="str">
            <v>CO</v>
          </cell>
          <cell r="C865" t="str">
            <v>LEONARDO JAVIER MEDINA FORERO</v>
          </cell>
        </row>
        <row r="866">
          <cell r="A866">
            <v>79591056</v>
          </cell>
          <cell r="B866" t="str">
            <v>CO</v>
          </cell>
          <cell r="C866" t="str">
            <v>QUIÑONES ROZO DIEGO FERNANDO</v>
          </cell>
        </row>
        <row r="867">
          <cell r="A867">
            <v>79608073</v>
          </cell>
          <cell r="B867" t="str">
            <v>CO</v>
          </cell>
          <cell r="C867" t="str">
            <v>URREGO BELTRAN CARLOS HERNAN</v>
          </cell>
        </row>
        <row r="868">
          <cell r="A868">
            <v>79611978</v>
          </cell>
          <cell r="B868" t="str">
            <v>CO</v>
          </cell>
          <cell r="C868" t="str">
            <v>GONZALEZ TOVAR DIOCIDES</v>
          </cell>
        </row>
        <row r="869">
          <cell r="A869">
            <v>79611998</v>
          </cell>
          <cell r="B869" t="str">
            <v>CO</v>
          </cell>
          <cell r="C869" t="str">
            <v>LUGO JOSE YOFREL</v>
          </cell>
        </row>
        <row r="870">
          <cell r="A870">
            <v>79614150</v>
          </cell>
          <cell r="B870" t="str">
            <v>CO</v>
          </cell>
          <cell r="C870" t="str">
            <v>MOLANO NOVOA SAUL</v>
          </cell>
        </row>
        <row r="871">
          <cell r="A871">
            <v>79630478</v>
          </cell>
          <cell r="B871" t="str">
            <v>CO</v>
          </cell>
          <cell r="C871" t="str">
            <v>GARZON BARON CARLOS EDUFREY</v>
          </cell>
        </row>
        <row r="872">
          <cell r="A872">
            <v>79635961</v>
          </cell>
          <cell r="B872" t="str">
            <v>CO</v>
          </cell>
          <cell r="C872" t="str">
            <v>DURAN TOVAR OSCAR MAURICIO</v>
          </cell>
        </row>
        <row r="873">
          <cell r="A873">
            <v>79648394</v>
          </cell>
          <cell r="B873" t="str">
            <v>CO</v>
          </cell>
          <cell r="C873" t="str">
            <v>AGUDELO GARCIA JHON BAIRON</v>
          </cell>
        </row>
        <row r="874">
          <cell r="A874">
            <v>79650355</v>
          </cell>
          <cell r="B874" t="str">
            <v>CO</v>
          </cell>
          <cell r="C874" t="str">
            <v>BENITEZ MARTINEZ NAVIL ENRIQUE</v>
          </cell>
        </row>
        <row r="875">
          <cell r="A875">
            <v>79671241</v>
          </cell>
          <cell r="B875" t="str">
            <v>CO</v>
          </cell>
          <cell r="C875" t="str">
            <v>MUÑOZ MOLANO OSCAR FERNANDO</v>
          </cell>
        </row>
        <row r="876">
          <cell r="A876">
            <v>79711092</v>
          </cell>
          <cell r="B876" t="str">
            <v>CO</v>
          </cell>
          <cell r="C876" t="str">
            <v>VILLALOBOS GABRIEL HERNAN</v>
          </cell>
        </row>
        <row r="877">
          <cell r="A877">
            <v>79713416</v>
          </cell>
          <cell r="B877" t="str">
            <v>CO</v>
          </cell>
          <cell r="C877" t="str">
            <v>VELASQUEZ QUINTERO HERNANDO</v>
          </cell>
        </row>
        <row r="878">
          <cell r="A878">
            <v>79715180</v>
          </cell>
          <cell r="B878" t="str">
            <v>CO</v>
          </cell>
          <cell r="C878" t="str">
            <v>DIEGO MAURICIO SALAMANCA</v>
          </cell>
        </row>
        <row r="879">
          <cell r="A879">
            <v>79718238</v>
          </cell>
          <cell r="B879" t="str">
            <v>CO</v>
          </cell>
          <cell r="C879" t="str">
            <v>CONSTANTINO CHAVEZ SEPULVEDA</v>
          </cell>
        </row>
        <row r="880">
          <cell r="A880">
            <v>79720664</v>
          </cell>
          <cell r="B880" t="str">
            <v>CO</v>
          </cell>
          <cell r="C880" t="str">
            <v>RODRIGUEZ REYES WILLIAM FERNANDO</v>
          </cell>
        </row>
        <row r="881">
          <cell r="A881">
            <v>79737670</v>
          </cell>
          <cell r="B881" t="str">
            <v>CO</v>
          </cell>
          <cell r="C881" t="str">
            <v>LUIS ALEJANDRO CALDERON MARQUEZ</v>
          </cell>
        </row>
        <row r="882">
          <cell r="A882">
            <v>79745005</v>
          </cell>
          <cell r="B882" t="str">
            <v>CO</v>
          </cell>
          <cell r="C882" t="str">
            <v>PIÑEROS VILLATE MARTINIANO</v>
          </cell>
        </row>
        <row r="883">
          <cell r="A883">
            <v>79758141</v>
          </cell>
          <cell r="B883" t="str">
            <v>CO</v>
          </cell>
          <cell r="C883" t="str">
            <v>JORGE ERNESTO RICO JARA</v>
          </cell>
        </row>
        <row r="884">
          <cell r="A884">
            <v>79764704</v>
          </cell>
          <cell r="B884" t="str">
            <v>CO</v>
          </cell>
          <cell r="C884" t="str">
            <v>ANDRES RICARDO SILVA GOMEZ</v>
          </cell>
        </row>
        <row r="885">
          <cell r="A885">
            <v>79769924</v>
          </cell>
          <cell r="B885" t="str">
            <v>CO</v>
          </cell>
          <cell r="C885" t="str">
            <v>JOSE JOAQUIN PARDO NIEVES</v>
          </cell>
        </row>
        <row r="886">
          <cell r="A886">
            <v>79777949</v>
          </cell>
          <cell r="B886" t="str">
            <v>CO</v>
          </cell>
          <cell r="C886" t="str">
            <v>PUERTA BAQUERO CARLOS ANDRES</v>
          </cell>
        </row>
        <row r="887">
          <cell r="A887">
            <v>79781742</v>
          </cell>
          <cell r="B887" t="str">
            <v>CO</v>
          </cell>
          <cell r="C887" t="str">
            <v>CARRETERO ROMERO ALEXANDER</v>
          </cell>
        </row>
        <row r="888">
          <cell r="A888">
            <v>79784751</v>
          </cell>
          <cell r="B888" t="str">
            <v>CO</v>
          </cell>
          <cell r="C888" t="str">
            <v>CAMILO BRAVO</v>
          </cell>
        </row>
        <row r="889">
          <cell r="A889">
            <v>79809289</v>
          </cell>
          <cell r="B889" t="str">
            <v>CO</v>
          </cell>
          <cell r="C889" t="str">
            <v>VACA VACA EDWIN YESID</v>
          </cell>
        </row>
        <row r="890">
          <cell r="A890">
            <v>79815200</v>
          </cell>
          <cell r="B890" t="str">
            <v>CO</v>
          </cell>
          <cell r="C890" t="str">
            <v>MARTINEZ MENDOZA MARIO</v>
          </cell>
        </row>
        <row r="891">
          <cell r="A891">
            <v>79820889</v>
          </cell>
          <cell r="B891" t="str">
            <v>CO</v>
          </cell>
          <cell r="C891" t="str">
            <v>GARAVITO ALFREDO</v>
          </cell>
        </row>
        <row r="892">
          <cell r="A892">
            <v>79820965</v>
          </cell>
          <cell r="B892" t="str">
            <v>CO</v>
          </cell>
          <cell r="C892" t="str">
            <v>GAMEZ ROBERTO</v>
          </cell>
        </row>
        <row r="893">
          <cell r="A893">
            <v>79821435</v>
          </cell>
          <cell r="B893" t="str">
            <v>CO</v>
          </cell>
          <cell r="C893" t="str">
            <v>FUNEME CASTIBLANCO CRISANTO</v>
          </cell>
        </row>
        <row r="894">
          <cell r="A894">
            <v>79826056</v>
          </cell>
          <cell r="B894" t="str">
            <v>CO</v>
          </cell>
          <cell r="C894" t="str">
            <v>JHON JAIRO GRACIA </v>
          </cell>
        </row>
        <row r="895">
          <cell r="A895">
            <v>79829053</v>
          </cell>
          <cell r="B895" t="str">
            <v>CO</v>
          </cell>
          <cell r="C895" t="str">
            <v>BELTRAN BELTRAN SANTOS ALONSO</v>
          </cell>
        </row>
        <row r="896">
          <cell r="A896">
            <v>79856930</v>
          </cell>
          <cell r="B896" t="str">
            <v>CO</v>
          </cell>
          <cell r="C896" t="str">
            <v>BERGAÑO PRIETO ROBINSON OSWALDO</v>
          </cell>
        </row>
        <row r="897">
          <cell r="A897">
            <v>79866891</v>
          </cell>
          <cell r="B897" t="str">
            <v>CO</v>
          </cell>
          <cell r="C897" t="str">
            <v>FONSECA MARCILAES JOSE ALEXANDER</v>
          </cell>
        </row>
        <row r="898">
          <cell r="A898">
            <v>79869334</v>
          </cell>
          <cell r="B898" t="str">
            <v>CO</v>
          </cell>
          <cell r="C898" t="str">
            <v>RINCON MESA ANDRES MAURICIO</v>
          </cell>
        </row>
        <row r="899">
          <cell r="A899">
            <v>79876890</v>
          </cell>
          <cell r="B899" t="str">
            <v>CO</v>
          </cell>
          <cell r="C899" t="str">
            <v>MEJIA ORTIZ WILSON</v>
          </cell>
        </row>
        <row r="900">
          <cell r="A900">
            <v>79906755</v>
          </cell>
          <cell r="B900" t="str">
            <v>CO</v>
          </cell>
          <cell r="C900" t="str">
            <v>FRANCO LOPEZ WILMAR</v>
          </cell>
        </row>
        <row r="901">
          <cell r="A901">
            <v>79913062</v>
          </cell>
          <cell r="B901" t="str">
            <v>CO</v>
          </cell>
          <cell r="C901" t="str">
            <v>GOMEZ QUIROGA GIOVANNI</v>
          </cell>
        </row>
        <row r="902">
          <cell r="A902">
            <v>79923976</v>
          </cell>
          <cell r="B902" t="str">
            <v>CO</v>
          </cell>
          <cell r="C902" t="str">
            <v>HERIBERTO PARRRA LOZPEZ</v>
          </cell>
        </row>
        <row r="903">
          <cell r="A903">
            <v>79944530</v>
          </cell>
          <cell r="B903" t="str">
            <v>CO</v>
          </cell>
          <cell r="C903" t="str">
            <v>JORGE ENRIQUE MAYA LLANO</v>
          </cell>
        </row>
        <row r="904">
          <cell r="A904">
            <v>79955973</v>
          </cell>
          <cell r="B904" t="str">
            <v>CO</v>
          </cell>
          <cell r="C904" t="str">
            <v>JORGE ANDRES LOPEZ GONZALEZ</v>
          </cell>
        </row>
        <row r="905">
          <cell r="A905">
            <v>79957003</v>
          </cell>
          <cell r="B905" t="str">
            <v>CO</v>
          </cell>
          <cell r="C905" t="str">
            <v>MORENO TORRES JUAN PABLO</v>
          </cell>
        </row>
        <row r="906">
          <cell r="A906">
            <v>79957055</v>
          </cell>
          <cell r="B906" t="str">
            <v>CO</v>
          </cell>
          <cell r="C906" t="str">
            <v>RODRIGUEZ PIRAQUIVE GIOVANNY</v>
          </cell>
        </row>
        <row r="907">
          <cell r="A907">
            <v>79967098</v>
          </cell>
          <cell r="B907" t="str">
            <v>CO</v>
          </cell>
          <cell r="C907" t="str">
            <v>JUYO HIGUERA JUAN EDWIN</v>
          </cell>
        </row>
        <row r="908">
          <cell r="A908">
            <v>79970236</v>
          </cell>
          <cell r="B908" t="str">
            <v>CO</v>
          </cell>
          <cell r="C908" t="str">
            <v>DUMAR RICARDO BUITRAGO PIÑEROS</v>
          </cell>
        </row>
        <row r="909">
          <cell r="A909">
            <v>79972423</v>
          </cell>
          <cell r="B909" t="str">
            <v>CO</v>
          </cell>
          <cell r="C909" t="str">
            <v>GONZALEZ PEÑA JORGE ENRIQUE</v>
          </cell>
        </row>
        <row r="910">
          <cell r="A910">
            <v>79981003</v>
          </cell>
          <cell r="B910" t="str">
            <v>CO</v>
          </cell>
          <cell r="C910" t="str">
            <v>JAIME FERNANDO BELTRAN MORA</v>
          </cell>
        </row>
        <row r="911">
          <cell r="A911">
            <v>80009635</v>
          </cell>
          <cell r="B911" t="str">
            <v>CO</v>
          </cell>
          <cell r="C911" t="str">
            <v>JORGE ANDRES GONZALEZ CHAUX</v>
          </cell>
        </row>
        <row r="912">
          <cell r="A912">
            <v>80012760</v>
          </cell>
          <cell r="B912" t="str">
            <v>CO</v>
          </cell>
          <cell r="C912" t="str">
            <v>CHAPARRO CESAR AUGUSTO</v>
          </cell>
        </row>
        <row r="913">
          <cell r="A913">
            <v>80014106</v>
          </cell>
          <cell r="B913" t="str">
            <v>CO</v>
          </cell>
          <cell r="C913" t="str">
            <v>FAUSTINO NUÑEZ</v>
          </cell>
        </row>
        <row r="914">
          <cell r="A914">
            <v>80015572</v>
          </cell>
          <cell r="B914" t="str">
            <v>CO</v>
          </cell>
          <cell r="C914" t="str">
            <v>ALDEMAR FRANCISCO CATOLICO OLAVE</v>
          </cell>
        </row>
        <row r="915">
          <cell r="A915">
            <v>80015812</v>
          </cell>
          <cell r="B915" t="str">
            <v>CO</v>
          </cell>
          <cell r="C915" t="str">
            <v>MARTINEZ PATIÑO ALEXANDER JOSE</v>
          </cell>
        </row>
        <row r="916">
          <cell r="A916">
            <v>80037075</v>
          </cell>
          <cell r="B916" t="str">
            <v>CO</v>
          </cell>
          <cell r="C916" t="str">
            <v>FRANCO GONZALEZ HENRY DAMIAN</v>
          </cell>
        </row>
        <row r="917">
          <cell r="A917">
            <v>80040301</v>
          </cell>
          <cell r="B917" t="str">
            <v>CO</v>
          </cell>
          <cell r="C917" t="str">
            <v>PAULO ENRIQUE GUEVARA RAMIREZ</v>
          </cell>
        </row>
        <row r="918">
          <cell r="A918">
            <v>80041005</v>
          </cell>
          <cell r="B918" t="str">
            <v>CO</v>
          </cell>
          <cell r="C918" t="str">
            <v>TOBAR SOLER DIEGO FERNANDO</v>
          </cell>
        </row>
        <row r="919">
          <cell r="A919">
            <v>80056229</v>
          </cell>
          <cell r="B919" t="str">
            <v>CO</v>
          </cell>
          <cell r="C919" t="str">
            <v>ALONSO TOBAR LUIS MIGUEL</v>
          </cell>
        </row>
        <row r="920">
          <cell r="A920">
            <v>80076497</v>
          </cell>
          <cell r="B920" t="str">
            <v>CO</v>
          </cell>
          <cell r="C920" t="str">
            <v>FABIO ENRIQUE HIDALGO BUITRAGO</v>
          </cell>
        </row>
        <row r="921">
          <cell r="A921">
            <v>80076610</v>
          </cell>
          <cell r="B921" t="str">
            <v>CO</v>
          </cell>
          <cell r="C921" t="str">
            <v>DIAZ LOPEZ RUDOLFF</v>
          </cell>
        </row>
        <row r="922">
          <cell r="A922">
            <v>80083113</v>
          </cell>
          <cell r="B922" t="str">
            <v>CO</v>
          </cell>
          <cell r="C922" t="str">
            <v>FERNANDEZ ACOSTA PEDRO LUIS</v>
          </cell>
        </row>
        <row r="923">
          <cell r="A923">
            <v>80086633</v>
          </cell>
          <cell r="B923" t="str">
            <v>CO</v>
          </cell>
          <cell r="C923" t="str">
            <v>BRITO DURAN WILMER ALEJANDRO</v>
          </cell>
        </row>
        <row r="924">
          <cell r="A924">
            <v>80093708</v>
          </cell>
          <cell r="B924" t="str">
            <v>CO</v>
          </cell>
          <cell r="C924" t="str">
            <v>GOMEZ BONILLA JOHN ALEJANDRO</v>
          </cell>
        </row>
        <row r="925">
          <cell r="A925">
            <v>80098512</v>
          </cell>
          <cell r="B925" t="str">
            <v>CO</v>
          </cell>
          <cell r="C925" t="str">
            <v>RAMOS ABRAHAM ANDRES</v>
          </cell>
        </row>
        <row r="926">
          <cell r="A926">
            <v>80110597</v>
          </cell>
          <cell r="B926" t="str">
            <v>CO</v>
          </cell>
          <cell r="C926" t="str">
            <v>BRICEÑO CAÑON DAVID EDUARDO</v>
          </cell>
        </row>
        <row r="927">
          <cell r="A927">
            <v>80111709</v>
          </cell>
          <cell r="B927" t="str">
            <v>CO</v>
          </cell>
          <cell r="C927" t="str">
            <v>LOPEZ BARBOSA JONATHAN</v>
          </cell>
        </row>
        <row r="928">
          <cell r="A928">
            <v>80132360</v>
          </cell>
          <cell r="B928" t="str">
            <v>CO</v>
          </cell>
          <cell r="C928" t="str">
            <v>WILMAN HUERTAS</v>
          </cell>
        </row>
        <row r="929">
          <cell r="A929">
            <v>80134051</v>
          </cell>
          <cell r="B929" t="str">
            <v>CO</v>
          </cell>
          <cell r="C929" t="str">
            <v>FERNANDEZ ACOSTA JUAN JOSE</v>
          </cell>
        </row>
        <row r="930">
          <cell r="A930">
            <v>80137336</v>
          </cell>
          <cell r="B930" t="str">
            <v>CO</v>
          </cell>
          <cell r="C930" t="str">
            <v>ALFONSO LOPEZ IBAGUE</v>
          </cell>
        </row>
        <row r="931">
          <cell r="A931">
            <v>80158968</v>
          </cell>
          <cell r="B931" t="str">
            <v>CO</v>
          </cell>
          <cell r="C931" t="str">
            <v>PINEDA MIKAN MAIKOL</v>
          </cell>
        </row>
        <row r="932">
          <cell r="A932">
            <v>80166900</v>
          </cell>
          <cell r="B932" t="str">
            <v>CO</v>
          </cell>
          <cell r="C932" t="str">
            <v>HECTOR FABIAN ACOSTA SANCHEZ</v>
          </cell>
        </row>
        <row r="933">
          <cell r="A933">
            <v>80171425</v>
          </cell>
          <cell r="B933" t="str">
            <v>CO</v>
          </cell>
          <cell r="C933" t="str">
            <v>ROSAS LEAL CARLOS ANDRES</v>
          </cell>
        </row>
        <row r="934">
          <cell r="A934">
            <v>80175391</v>
          </cell>
          <cell r="B934" t="str">
            <v>CO</v>
          </cell>
          <cell r="C934" t="str">
            <v>MUÑOZ TORRES WILSON JAVIER</v>
          </cell>
        </row>
        <row r="935">
          <cell r="A935">
            <v>80178383</v>
          </cell>
          <cell r="B935" t="str">
            <v>CO</v>
          </cell>
          <cell r="C935" t="str">
            <v>GUTIERREZ BUITRAGO JOSE ANDRES</v>
          </cell>
        </row>
        <row r="936">
          <cell r="A936">
            <v>80178586</v>
          </cell>
          <cell r="B936" t="str">
            <v>CO</v>
          </cell>
          <cell r="C936" t="str">
            <v>CRISTIANO DURAN LUIS EDUARDO</v>
          </cell>
        </row>
        <row r="937">
          <cell r="A937">
            <v>80184215</v>
          </cell>
          <cell r="B937" t="str">
            <v>CO</v>
          </cell>
          <cell r="C937" t="str">
            <v>PAEZ HUERTAS ALEXSANDER</v>
          </cell>
        </row>
        <row r="938">
          <cell r="A938">
            <v>80187373</v>
          </cell>
          <cell r="B938" t="str">
            <v>CO</v>
          </cell>
          <cell r="C938" t="str">
            <v>ARCILA CARDONA EDUAR</v>
          </cell>
        </row>
        <row r="939">
          <cell r="A939">
            <v>80187546</v>
          </cell>
          <cell r="B939" t="str">
            <v>CO</v>
          </cell>
          <cell r="C939" t="str">
            <v>ORTIZ SANDOVAL ESTEBAN</v>
          </cell>
        </row>
        <row r="940">
          <cell r="A940">
            <v>80189740</v>
          </cell>
          <cell r="B940" t="str">
            <v>CO</v>
          </cell>
          <cell r="C940" t="str">
            <v>HERNAN DAVID MORENO TARQUINO</v>
          </cell>
        </row>
        <row r="941">
          <cell r="A941">
            <v>80192294</v>
          </cell>
          <cell r="B941" t="str">
            <v>CO</v>
          </cell>
          <cell r="C941" t="str">
            <v>CHAPARRO QUIROGA CESAR FERNANDO</v>
          </cell>
        </row>
        <row r="942">
          <cell r="A942">
            <v>80193144</v>
          </cell>
          <cell r="B942" t="str">
            <v>CO</v>
          </cell>
          <cell r="C942" t="str">
            <v>MEJIA CERON NELSON ALEJANDRO</v>
          </cell>
        </row>
        <row r="943">
          <cell r="A943">
            <v>80200413</v>
          </cell>
          <cell r="B943" t="str">
            <v>CO</v>
          </cell>
          <cell r="C943" t="str">
            <v>ALZATE VARGAS JUAN CARLOS</v>
          </cell>
        </row>
        <row r="944">
          <cell r="A944">
            <v>80208626</v>
          </cell>
          <cell r="B944" t="str">
            <v>CO</v>
          </cell>
          <cell r="C944" t="str">
            <v>RUEDA ACOSTA EDWARDS MAURICIO</v>
          </cell>
        </row>
        <row r="945">
          <cell r="A945">
            <v>80213287</v>
          </cell>
          <cell r="B945" t="str">
            <v>CO</v>
          </cell>
          <cell r="C945" t="str">
            <v>HURTADO SOLER JAVIER FRANCISCO</v>
          </cell>
        </row>
        <row r="946">
          <cell r="A946">
            <v>80221473</v>
          </cell>
          <cell r="B946" t="str">
            <v>CO</v>
          </cell>
          <cell r="C946" t="str">
            <v>JHON ALEXANDER HERRERA RODRIGUEZ</v>
          </cell>
        </row>
        <row r="947">
          <cell r="A947">
            <v>80228053</v>
          </cell>
          <cell r="B947" t="str">
            <v>CO</v>
          </cell>
          <cell r="C947" t="str">
            <v>LEON BOTON CARLOS DARIO</v>
          </cell>
        </row>
        <row r="948">
          <cell r="A948">
            <v>80236660</v>
          </cell>
          <cell r="B948" t="str">
            <v>CO</v>
          </cell>
          <cell r="C948" t="str">
            <v>COBOS BLANCO WILSON DARIO</v>
          </cell>
        </row>
        <row r="949">
          <cell r="A949">
            <v>80237597</v>
          </cell>
          <cell r="B949" t="str">
            <v>CO</v>
          </cell>
          <cell r="C949" t="str">
            <v>GUERRERO RODRIGUEZ FRANCISCO</v>
          </cell>
        </row>
        <row r="950">
          <cell r="A950">
            <v>80238587</v>
          </cell>
          <cell r="B950" t="str">
            <v>CO</v>
          </cell>
          <cell r="C950" t="str">
            <v>JONATHAN STEPTLRN GONZALEZ MENDOZA</v>
          </cell>
        </row>
        <row r="951">
          <cell r="A951">
            <v>80240893</v>
          </cell>
          <cell r="B951" t="str">
            <v>CO</v>
          </cell>
          <cell r="C951" t="str">
            <v>HERNANDO ESCOBAR CIFUENTES</v>
          </cell>
        </row>
        <row r="952">
          <cell r="A952">
            <v>80241882</v>
          </cell>
          <cell r="B952" t="str">
            <v>CO</v>
          </cell>
          <cell r="C952" t="str">
            <v>CESAR AUGUSTO CASTELLANOS GUZMAN</v>
          </cell>
        </row>
        <row r="953">
          <cell r="A953">
            <v>80244241</v>
          </cell>
          <cell r="B953" t="str">
            <v>CO</v>
          </cell>
          <cell r="C953" t="str">
            <v>MEDINA CORONADO EDWIN</v>
          </cell>
        </row>
        <row r="954">
          <cell r="A954">
            <v>80248441</v>
          </cell>
          <cell r="B954" t="str">
            <v>CO</v>
          </cell>
          <cell r="C954" t="str">
            <v>ALEJANDRO BERNAL RIVERA</v>
          </cell>
        </row>
        <row r="955">
          <cell r="A955">
            <v>80248960</v>
          </cell>
          <cell r="B955" t="str">
            <v>CO</v>
          </cell>
          <cell r="C955" t="str">
            <v>ANZOLA RAMIREZ EDWIN</v>
          </cell>
        </row>
        <row r="956">
          <cell r="A956">
            <v>80258002</v>
          </cell>
          <cell r="B956" t="str">
            <v>CO</v>
          </cell>
          <cell r="C956" t="str">
            <v>ROJAS PATIÑO OSCAR EDUARDO</v>
          </cell>
        </row>
        <row r="957">
          <cell r="A957">
            <v>80265995</v>
          </cell>
          <cell r="B957" t="str">
            <v>CO</v>
          </cell>
          <cell r="C957" t="str">
            <v>PALACIOS CABUYA JOSE EDILBERTO</v>
          </cell>
        </row>
        <row r="958">
          <cell r="A958">
            <v>80279612</v>
          </cell>
          <cell r="B958" t="str">
            <v>CO</v>
          </cell>
          <cell r="C958" t="str">
            <v>CONTRERAS MENDOZA RODOLFO</v>
          </cell>
        </row>
        <row r="959">
          <cell r="A959">
            <v>80357683</v>
          </cell>
          <cell r="B959" t="str">
            <v>CO</v>
          </cell>
          <cell r="C959" t="str">
            <v>NIETO ZAMORA FRANCISCO JAVIER</v>
          </cell>
        </row>
        <row r="960">
          <cell r="A960">
            <v>80367985</v>
          </cell>
          <cell r="B960" t="str">
            <v>CO</v>
          </cell>
          <cell r="C960" t="str">
            <v>FONTECHA FONTECHA MARCOLINA</v>
          </cell>
        </row>
        <row r="961">
          <cell r="A961">
            <v>80369943</v>
          </cell>
          <cell r="B961" t="str">
            <v>CO</v>
          </cell>
          <cell r="C961" t="str">
            <v>JARA QUIROGA OSCAR  HERNAN</v>
          </cell>
        </row>
        <row r="962">
          <cell r="A962">
            <v>80375964</v>
          </cell>
          <cell r="B962" t="str">
            <v>CO</v>
          </cell>
          <cell r="C962" t="str">
            <v>TORRES LUIS EDUARDO</v>
          </cell>
        </row>
        <row r="963">
          <cell r="A963">
            <v>80396298</v>
          </cell>
          <cell r="B963" t="str">
            <v>CO</v>
          </cell>
          <cell r="C963" t="str">
            <v>LUIS FERNANDO GUALTEROS RONCANCIO</v>
          </cell>
        </row>
        <row r="964">
          <cell r="A964">
            <v>80429254</v>
          </cell>
          <cell r="B964" t="str">
            <v>CO</v>
          </cell>
          <cell r="C964" t="str">
            <v>ROJAS RIVEROS LUIS ALFONSO</v>
          </cell>
        </row>
        <row r="965">
          <cell r="A965">
            <v>80431021</v>
          </cell>
          <cell r="B965" t="str">
            <v>CO</v>
          </cell>
          <cell r="C965" t="str">
            <v>SUAREZ PARDO CARLOS EVELIO</v>
          </cell>
        </row>
        <row r="966">
          <cell r="A966">
            <v>80432958</v>
          </cell>
          <cell r="B966" t="str">
            <v>CO</v>
          </cell>
          <cell r="C966" t="str">
            <v>ARDILA ALFRY</v>
          </cell>
        </row>
        <row r="967">
          <cell r="A967">
            <v>80435013</v>
          </cell>
          <cell r="B967" t="str">
            <v>CO</v>
          </cell>
          <cell r="C967" t="str">
            <v>PALOMA PALOMA JOSE LIZARDO</v>
          </cell>
        </row>
        <row r="968">
          <cell r="A968">
            <v>80462900</v>
          </cell>
          <cell r="B968" t="str">
            <v>CO</v>
          </cell>
          <cell r="C968" t="str">
            <v>CARLOS ALEJANDRO HERNANDEZ PACHON</v>
          </cell>
        </row>
        <row r="969">
          <cell r="A969">
            <v>80495173</v>
          </cell>
          <cell r="B969" t="str">
            <v>CO</v>
          </cell>
          <cell r="C969" t="str">
            <v>CASTAÑEDA GUTIERREZ PABLO EMILIO</v>
          </cell>
        </row>
        <row r="970">
          <cell r="A970">
            <v>80505974</v>
          </cell>
          <cell r="B970" t="str">
            <v>CO</v>
          </cell>
          <cell r="C970" t="str">
            <v>CARVAJAL JUAN CARLOS</v>
          </cell>
        </row>
        <row r="971">
          <cell r="A971">
            <v>80538271</v>
          </cell>
          <cell r="B971" t="str">
            <v>CO</v>
          </cell>
          <cell r="C971" t="str">
            <v>MIGUEL ALBERTO LAVERDE VELA</v>
          </cell>
        </row>
        <row r="972">
          <cell r="A972">
            <v>80539119</v>
          </cell>
          <cell r="B972" t="str">
            <v>CO</v>
          </cell>
          <cell r="C972" t="str">
            <v>PEREZ PINTO JOSE HECTOR</v>
          </cell>
        </row>
        <row r="973">
          <cell r="A973">
            <v>80539597</v>
          </cell>
          <cell r="B973" t="str">
            <v>CO</v>
          </cell>
          <cell r="C973" t="str">
            <v>GARZON SALDAÑA CLEY MANUEL</v>
          </cell>
        </row>
        <row r="974">
          <cell r="A974">
            <v>80543827</v>
          </cell>
          <cell r="B974" t="str">
            <v>CO</v>
          </cell>
          <cell r="C974" t="str">
            <v>RIAÑO OSCAR</v>
          </cell>
        </row>
        <row r="975">
          <cell r="A975">
            <v>80544143</v>
          </cell>
          <cell r="B975" t="str">
            <v>CO</v>
          </cell>
          <cell r="C975" t="str">
            <v>MENDEZ HERNANDEZ EDGAR FERNANDO</v>
          </cell>
        </row>
        <row r="976">
          <cell r="A976">
            <v>80545143</v>
          </cell>
          <cell r="B976" t="str">
            <v>CO</v>
          </cell>
          <cell r="C976" t="str">
            <v>CASTRO VENEGAS JAVIER RAMIRO</v>
          </cell>
        </row>
        <row r="977">
          <cell r="A977">
            <v>80545598</v>
          </cell>
          <cell r="B977" t="str">
            <v>CO</v>
          </cell>
          <cell r="C977" t="str">
            <v>PAEZ E JORGE</v>
          </cell>
        </row>
        <row r="978">
          <cell r="A978">
            <v>80550530</v>
          </cell>
          <cell r="B978" t="str">
            <v>CO</v>
          </cell>
          <cell r="C978" t="str">
            <v>CASTRO VANEGAS NESTOR JULIAN</v>
          </cell>
        </row>
        <row r="979">
          <cell r="A979">
            <v>80721778</v>
          </cell>
          <cell r="B979" t="str">
            <v>CO</v>
          </cell>
          <cell r="C979" t="str">
            <v>ZULUAGA SARMIENTO HECTOR GIOVANNY</v>
          </cell>
        </row>
        <row r="980">
          <cell r="A980">
            <v>80735719</v>
          </cell>
          <cell r="B980" t="str">
            <v>CO</v>
          </cell>
          <cell r="C980" t="str">
            <v>CALDERON RAMIREZ JORGE ARMANDO</v>
          </cell>
        </row>
        <row r="981">
          <cell r="A981">
            <v>80739709</v>
          </cell>
          <cell r="B981" t="str">
            <v>CO</v>
          </cell>
          <cell r="C981" t="str">
            <v>NICOLAS MAURICIO FORERO WILCHES</v>
          </cell>
        </row>
        <row r="982">
          <cell r="A982">
            <v>80739914</v>
          </cell>
          <cell r="B982" t="str">
            <v>CO</v>
          </cell>
          <cell r="C982" t="str">
            <v>MORENO SORIANO FREDY ALEXANDER</v>
          </cell>
        </row>
        <row r="983">
          <cell r="A983">
            <v>80742048</v>
          </cell>
          <cell r="B983" t="str">
            <v>CO</v>
          </cell>
          <cell r="C983" t="str">
            <v>RAMIREZ ROMERO OSCAR ANDRES</v>
          </cell>
        </row>
        <row r="984">
          <cell r="A984">
            <v>80747176</v>
          </cell>
          <cell r="B984" t="str">
            <v>CO</v>
          </cell>
          <cell r="C984" t="str">
            <v>GARCIA TAFUR OSCAR ENRIQUE</v>
          </cell>
        </row>
        <row r="985">
          <cell r="A985">
            <v>80768746</v>
          </cell>
          <cell r="B985" t="str">
            <v>CO</v>
          </cell>
          <cell r="C985" t="str">
            <v>ORTEGA MOGROVEJO HENRY ANTONIO</v>
          </cell>
        </row>
        <row r="986">
          <cell r="A986">
            <v>80769071</v>
          </cell>
          <cell r="B986" t="str">
            <v>CO</v>
          </cell>
          <cell r="C986" t="str">
            <v>VARGAS RAMIREZ CAMILO ANDRES</v>
          </cell>
        </row>
        <row r="987">
          <cell r="A987">
            <v>80793193</v>
          </cell>
          <cell r="B987" t="str">
            <v>CO</v>
          </cell>
          <cell r="C987" t="str">
            <v>RUIZ DIAZ GUILLERMO ANDRES</v>
          </cell>
        </row>
        <row r="988">
          <cell r="A988">
            <v>80794444</v>
          </cell>
          <cell r="B988" t="str">
            <v>CO</v>
          </cell>
          <cell r="C988" t="str">
            <v>HERNANDEZ DIAZ JOSE GIOVANNY</v>
          </cell>
        </row>
        <row r="989">
          <cell r="A989">
            <v>80797429</v>
          </cell>
          <cell r="B989" t="str">
            <v>CO</v>
          </cell>
          <cell r="C989" t="str">
            <v>JUAN DAVID VARGAS</v>
          </cell>
        </row>
        <row r="990">
          <cell r="A990">
            <v>80809562</v>
          </cell>
          <cell r="B990" t="str">
            <v>CO</v>
          </cell>
          <cell r="C990" t="str">
            <v>CRUZ GUZMAN WALTER URIEL</v>
          </cell>
        </row>
        <row r="991">
          <cell r="A991">
            <v>80811867</v>
          </cell>
          <cell r="B991" t="str">
            <v>CO</v>
          </cell>
          <cell r="C991" t="str">
            <v>RUBIANO SANABRIA EDGAR ALONSO</v>
          </cell>
        </row>
        <row r="992">
          <cell r="A992">
            <v>80815047</v>
          </cell>
          <cell r="B992" t="str">
            <v>CO</v>
          </cell>
          <cell r="C992" t="str">
            <v>PAEZ REINA MANUEL RICARDO</v>
          </cell>
        </row>
        <row r="993">
          <cell r="A993">
            <v>80818090</v>
          </cell>
          <cell r="B993" t="str">
            <v>CO</v>
          </cell>
          <cell r="C993" t="str">
            <v>BARRETO ALFONSO CARLOS FEDERICO</v>
          </cell>
        </row>
        <row r="994">
          <cell r="A994">
            <v>80819088</v>
          </cell>
          <cell r="B994" t="str">
            <v>CO</v>
          </cell>
          <cell r="C994" t="str">
            <v>HENRY JAVIER MENDIETA MENDIETA</v>
          </cell>
        </row>
        <row r="995">
          <cell r="A995">
            <v>80819871</v>
          </cell>
          <cell r="B995" t="str">
            <v>CO</v>
          </cell>
          <cell r="C995" t="str">
            <v>DIAZ CARDENAS LUIS GABRIEL</v>
          </cell>
        </row>
        <row r="996">
          <cell r="A996">
            <v>80821189</v>
          </cell>
          <cell r="B996" t="str">
            <v>CO</v>
          </cell>
          <cell r="C996" t="str">
            <v>ROJAS SALAS JOSE LUIS</v>
          </cell>
        </row>
        <row r="997">
          <cell r="A997">
            <v>80821190</v>
          </cell>
          <cell r="B997" t="str">
            <v>CO</v>
          </cell>
          <cell r="C997" t="str">
            <v>ROJAS SALAS JUAN CARLOS</v>
          </cell>
        </row>
        <row r="998">
          <cell r="A998">
            <v>80821510</v>
          </cell>
          <cell r="B998" t="str">
            <v>CO</v>
          </cell>
          <cell r="C998" t="str">
            <v>CRISTIAN JONATHAN ROMERO GOMEZ</v>
          </cell>
        </row>
        <row r="999">
          <cell r="A999">
            <v>80833458</v>
          </cell>
          <cell r="B999" t="str">
            <v>CO</v>
          </cell>
          <cell r="C999" t="str">
            <v>RICO GUZMAN DAVID OSWALDO</v>
          </cell>
        </row>
        <row r="1000">
          <cell r="A1000">
            <v>80845502</v>
          </cell>
          <cell r="B1000" t="str">
            <v>CO</v>
          </cell>
          <cell r="C1000" t="str">
            <v>AGUILERA SANCHEZ ANDRES FELIPE</v>
          </cell>
        </row>
        <row r="1001">
          <cell r="A1001">
            <v>80852435</v>
          </cell>
          <cell r="B1001" t="str">
            <v>CO</v>
          </cell>
          <cell r="C1001" t="str">
            <v>JUAN FERNANDO CAMACHO RUIDIAZ</v>
          </cell>
        </row>
        <row r="1002">
          <cell r="A1002">
            <v>80904030</v>
          </cell>
          <cell r="B1002" t="str">
            <v>CO</v>
          </cell>
          <cell r="C1002" t="str">
            <v>CARO RAMIREZ JORGE ANTONIO</v>
          </cell>
        </row>
        <row r="1003">
          <cell r="A1003">
            <v>81754699</v>
          </cell>
          <cell r="B1003" t="str">
            <v>CO</v>
          </cell>
          <cell r="C1003" t="str">
            <v>JORGE IVAN MARTINEZ GUZMAN</v>
          </cell>
        </row>
        <row r="1004">
          <cell r="A1004">
            <v>82393718</v>
          </cell>
          <cell r="B1004" t="str">
            <v>CO</v>
          </cell>
          <cell r="C1004" t="str">
            <v>HENRY ALBERTO GALINDO CRUZ</v>
          </cell>
        </row>
        <row r="1005">
          <cell r="A1005">
            <v>83093299</v>
          </cell>
          <cell r="B1005" t="str">
            <v>CO</v>
          </cell>
          <cell r="C1005" t="str">
            <v>MONTENEGRO BAHAMON MAYCON ALFREDY</v>
          </cell>
        </row>
        <row r="1006">
          <cell r="A1006">
            <v>83238067</v>
          </cell>
          <cell r="B1006" t="str">
            <v>CO</v>
          </cell>
          <cell r="C1006" t="str">
            <v>MUÑOZ OLAYA MIGUEL ANGEL</v>
          </cell>
        </row>
        <row r="1007">
          <cell r="A1007">
            <v>85165728</v>
          </cell>
          <cell r="B1007" t="str">
            <v>CO</v>
          </cell>
          <cell r="C1007" t="str">
            <v>JIMENEZ HERNANDEZ PEDRO</v>
          </cell>
        </row>
        <row r="1008">
          <cell r="A1008">
            <v>85469693</v>
          </cell>
          <cell r="B1008" t="str">
            <v>CO</v>
          </cell>
          <cell r="C1008" t="str">
            <v>TOLOZA RUEDA ALEXANDER</v>
          </cell>
        </row>
        <row r="1009">
          <cell r="A1009">
            <v>86011598</v>
          </cell>
          <cell r="B1009" t="str">
            <v>CO</v>
          </cell>
          <cell r="C1009" t="str">
            <v>TORRES CORREA JAIDER DUQUEIRO</v>
          </cell>
        </row>
        <row r="1010">
          <cell r="A1010">
            <v>86013797</v>
          </cell>
          <cell r="B1010" t="str">
            <v>CO</v>
          </cell>
          <cell r="C1010" t="str">
            <v>CHAVEZ CASTRO WILFREDO</v>
          </cell>
        </row>
        <row r="1011">
          <cell r="A1011">
            <v>86040794</v>
          </cell>
          <cell r="B1011" t="str">
            <v>CO</v>
          </cell>
          <cell r="C1011" t="str">
            <v>VIVAS ENCISO JORGE ELIECER</v>
          </cell>
        </row>
        <row r="1012">
          <cell r="A1012">
            <v>86041290</v>
          </cell>
          <cell r="B1012" t="str">
            <v>CO</v>
          </cell>
          <cell r="C1012" t="str">
            <v>MORENO PINEDA JOSE ALBERTO</v>
          </cell>
        </row>
        <row r="1013">
          <cell r="A1013">
            <v>86043996</v>
          </cell>
          <cell r="B1013" t="str">
            <v>CO</v>
          </cell>
          <cell r="C1013" t="str">
            <v>JAIRO CABRERA ENCINOSA</v>
          </cell>
        </row>
        <row r="1014">
          <cell r="A1014">
            <v>86050721</v>
          </cell>
          <cell r="B1014" t="str">
            <v>CO</v>
          </cell>
          <cell r="C1014" t="str">
            <v>LOPEZ GRAJALES OSCAR ANTONIO</v>
          </cell>
        </row>
        <row r="1015">
          <cell r="A1015">
            <v>86051616</v>
          </cell>
          <cell r="B1015" t="str">
            <v>CO</v>
          </cell>
          <cell r="C1015" t="str">
            <v>ÑAÑES ROSMAN YUVAN</v>
          </cell>
        </row>
        <row r="1016">
          <cell r="A1016">
            <v>86060339</v>
          </cell>
          <cell r="B1016" t="str">
            <v>CO</v>
          </cell>
          <cell r="C1016" t="str">
            <v>QUINTERO SANCHEZ JHON ALEXANDER</v>
          </cell>
        </row>
        <row r="1017">
          <cell r="A1017">
            <v>86061245</v>
          </cell>
          <cell r="B1017" t="str">
            <v>CO</v>
          </cell>
          <cell r="C1017" t="str">
            <v>CAGUA VARGAS MIGUEL ALBERTO</v>
          </cell>
        </row>
        <row r="1018">
          <cell r="A1018">
            <v>86064546</v>
          </cell>
          <cell r="B1018" t="str">
            <v>CO</v>
          </cell>
          <cell r="C1018" t="str">
            <v>VILLAREAL FRANCO JOSE GUILLERMO</v>
          </cell>
        </row>
        <row r="1019">
          <cell r="A1019">
            <v>86065733</v>
          </cell>
          <cell r="B1019" t="str">
            <v>CO</v>
          </cell>
          <cell r="C1019" t="str">
            <v>EDUARDO HINCAPIE MONTOYA</v>
          </cell>
        </row>
        <row r="1020">
          <cell r="A1020">
            <v>86076199</v>
          </cell>
          <cell r="B1020" t="str">
            <v>CO</v>
          </cell>
          <cell r="C1020" t="str">
            <v>RODRIGUEZ RANGEL JOSE ALFREDO</v>
          </cell>
        </row>
        <row r="1021">
          <cell r="A1021">
            <v>86076298</v>
          </cell>
          <cell r="B1021" t="str">
            <v>CO</v>
          </cell>
          <cell r="C1021" t="str">
            <v>CLAVIJO BOLIVAR JORGE JULIAN</v>
          </cell>
        </row>
        <row r="1022">
          <cell r="A1022">
            <v>86077133</v>
          </cell>
          <cell r="B1022" t="str">
            <v>CO</v>
          </cell>
          <cell r="C1022" t="str">
            <v>ZEA COGUA JIMMY GREGORIO</v>
          </cell>
        </row>
        <row r="1023">
          <cell r="A1023">
            <v>86077663</v>
          </cell>
          <cell r="B1023" t="str">
            <v>CO</v>
          </cell>
          <cell r="C1023" t="str">
            <v>GUTIERREZ RAMIREZ ANDRES FELIPE</v>
          </cell>
        </row>
        <row r="1024">
          <cell r="A1024">
            <v>86080929</v>
          </cell>
          <cell r="B1024" t="str">
            <v>CO</v>
          </cell>
          <cell r="C1024" t="str">
            <v>YEINS STIVEN PARRADO RAMIREZ</v>
          </cell>
        </row>
        <row r="1025">
          <cell r="A1025">
            <v>86084406</v>
          </cell>
          <cell r="B1025" t="str">
            <v>CO</v>
          </cell>
          <cell r="C1025" t="str">
            <v>IVAN DARIO NIETO PINZON</v>
          </cell>
        </row>
        <row r="1026">
          <cell r="A1026">
            <v>87247774</v>
          </cell>
          <cell r="B1026" t="str">
            <v>CO</v>
          </cell>
          <cell r="C1026" t="str">
            <v>ALVEAR VEGA LUIS CARLOS</v>
          </cell>
        </row>
        <row r="1027">
          <cell r="A1027">
            <v>87301190</v>
          </cell>
          <cell r="B1027" t="str">
            <v>CO</v>
          </cell>
          <cell r="C1027" t="str">
            <v>JAVER ALVEIRO RIVAS ARCOS</v>
          </cell>
        </row>
        <row r="1028">
          <cell r="A1028">
            <v>88030113</v>
          </cell>
          <cell r="B1028" t="str">
            <v>CO</v>
          </cell>
          <cell r="C1028" t="str">
            <v>MIGUEL RUIZ</v>
          </cell>
        </row>
        <row r="1029">
          <cell r="A1029">
            <v>88034449</v>
          </cell>
          <cell r="B1029" t="str">
            <v>CO</v>
          </cell>
          <cell r="C1029" t="str">
            <v>MUÑOZ PEREZ LUIS EDUARDO</v>
          </cell>
        </row>
        <row r="1030">
          <cell r="A1030">
            <v>91014339</v>
          </cell>
          <cell r="B1030" t="str">
            <v>CO</v>
          </cell>
          <cell r="C1030" t="str">
            <v>EDS HCM TOCANCIPA</v>
          </cell>
        </row>
        <row r="1031">
          <cell r="A1031">
            <v>91068028</v>
          </cell>
          <cell r="B1031" t="str">
            <v>CO</v>
          </cell>
          <cell r="C1031" t="str">
            <v>SANDOVAL GARCIA JUAN ANTONIO</v>
          </cell>
        </row>
        <row r="1032">
          <cell r="A1032">
            <v>91104551</v>
          </cell>
          <cell r="B1032" t="str">
            <v>CO</v>
          </cell>
          <cell r="C1032" t="str">
            <v>ANIBAL GOMEZ CARDENAS</v>
          </cell>
        </row>
        <row r="1033">
          <cell r="A1033">
            <v>91109627</v>
          </cell>
          <cell r="B1033" t="str">
            <v>CO</v>
          </cell>
          <cell r="C1033" t="str">
            <v>BAUTISTA ORTIZ ARNULFO</v>
          </cell>
        </row>
        <row r="1034">
          <cell r="A1034">
            <v>91110680</v>
          </cell>
          <cell r="B1034" t="str">
            <v>CO</v>
          </cell>
          <cell r="C1034" t="str">
            <v>JUAN ANTONI BAEZ PAEZ</v>
          </cell>
        </row>
        <row r="1035">
          <cell r="A1035">
            <v>91159088</v>
          </cell>
          <cell r="B1035" t="str">
            <v>CO</v>
          </cell>
          <cell r="C1035" t="str">
            <v>ANGARITA MIGUEL ANGEL</v>
          </cell>
        </row>
        <row r="1036">
          <cell r="A1036">
            <v>91159906</v>
          </cell>
          <cell r="B1036" t="str">
            <v>CO</v>
          </cell>
          <cell r="C1036" t="str">
            <v>MARTINEZ FONSECA SAUL ANDRES</v>
          </cell>
        </row>
        <row r="1037">
          <cell r="A1037">
            <v>91176779</v>
          </cell>
          <cell r="B1037" t="str">
            <v>CO</v>
          </cell>
          <cell r="C1037" t="str">
            <v>HOYOS JIMENEZ PEDRO PABLO</v>
          </cell>
        </row>
        <row r="1038">
          <cell r="A1038">
            <v>91183240</v>
          </cell>
          <cell r="B1038" t="str">
            <v>CO</v>
          </cell>
          <cell r="C1038" t="str">
            <v>REY CHAPARRO JOSE EDGAR</v>
          </cell>
        </row>
        <row r="1039">
          <cell r="A1039">
            <v>91203525</v>
          </cell>
          <cell r="B1039" t="str">
            <v>CO</v>
          </cell>
          <cell r="C1039" t="str">
            <v>MANUEL CASTRO BLANCO</v>
          </cell>
        </row>
        <row r="1040">
          <cell r="A1040">
            <v>91208069</v>
          </cell>
          <cell r="B1040" t="str">
            <v>CO</v>
          </cell>
          <cell r="C1040" t="str">
            <v>LOPEZ CASTAÑO LUIS ORLANDO</v>
          </cell>
        </row>
        <row r="1041">
          <cell r="A1041">
            <v>91221648</v>
          </cell>
          <cell r="B1041" t="str">
            <v>CO</v>
          </cell>
          <cell r="C1041" t="str">
            <v>RUIZ NARANJO SAUL</v>
          </cell>
        </row>
        <row r="1042">
          <cell r="A1042">
            <v>91225175</v>
          </cell>
          <cell r="B1042" t="str">
            <v>CO</v>
          </cell>
          <cell r="C1042" t="str">
            <v>RODRIGUEZ LUNA JOSE JAVIER</v>
          </cell>
        </row>
        <row r="1043">
          <cell r="A1043">
            <v>91248730</v>
          </cell>
          <cell r="B1043" t="str">
            <v>CO</v>
          </cell>
          <cell r="C1043" t="str">
            <v>MANRIQUE SUAREZ JERONIMO</v>
          </cell>
        </row>
        <row r="1044">
          <cell r="A1044">
            <v>91262053</v>
          </cell>
          <cell r="B1044" t="str">
            <v>CO</v>
          </cell>
          <cell r="C1044" t="str">
            <v>PLATA GOMEZ GONZALO</v>
          </cell>
        </row>
        <row r="1045">
          <cell r="A1045">
            <v>91266417</v>
          </cell>
          <cell r="B1045" t="str">
            <v>CO</v>
          </cell>
          <cell r="C1045" t="str">
            <v>LUIS CARLOS BARRERO FAJARDO</v>
          </cell>
        </row>
        <row r="1046">
          <cell r="A1046">
            <v>91267729</v>
          </cell>
          <cell r="B1046" t="str">
            <v>CO</v>
          </cell>
          <cell r="C1046" t="str">
            <v>GUERRERO MOSQUERA ORIOL</v>
          </cell>
        </row>
        <row r="1047">
          <cell r="A1047">
            <v>91267740</v>
          </cell>
          <cell r="B1047" t="str">
            <v>CO</v>
          </cell>
          <cell r="C1047" t="str">
            <v>ARCELIO LLORENTE SERNA</v>
          </cell>
        </row>
        <row r="1048">
          <cell r="A1048">
            <v>91277912</v>
          </cell>
          <cell r="B1048" t="str">
            <v>CO</v>
          </cell>
          <cell r="C1048" t="str">
            <v>DIAZ VILLAMIZAR JEFERSSON DARIO</v>
          </cell>
        </row>
        <row r="1049">
          <cell r="A1049">
            <v>91278086</v>
          </cell>
          <cell r="B1049" t="str">
            <v>CO</v>
          </cell>
          <cell r="C1049" t="str">
            <v>RAMIREZ RIOS RUSSELL</v>
          </cell>
        </row>
        <row r="1050">
          <cell r="A1050">
            <v>91278257</v>
          </cell>
          <cell r="B1050" t="str">
            <v>CO</v>
          </cell>
          <cell r="C1050" t="str">
            <v>CACERES RAUL</v>
          </cell>
        </row>
        <row r="1051">
          <cell r="A1051">
            <v>91279068</v>
          </cell>
          <cell r="B1051" t="str">
            <v>CO</v>
          </cell>
          <cell r="C1051" t="str">
            <v>DURAN SANCHEZ CARLOS ALBERTO</v>
          </cell>
        </row>
        <row r="1052">
          <cell r="A1052">
            <v>91279259</v>
          </cell>
          <cell r="B1052" t="str">
            <v>CO</v>
          </cell>
          <cell r="C1052" t="str">
            <v>TORRES GONZALEZ OSCAR ERNESTO</v>
          </cell>
        </row>
        <row r="1053">
          <cell r="A1053">
            <v>91284388</v>
          </cell>
          <cell r="B1053" t="str">
            <v>CO</v>
          </cell>
          <cell r="C1053" t="str">
            <v>CRISTOBAL MANRIQUE</v>
          </cell>
        </row>
        <row r="1054">
          <cell r="A1054">
            <v>91360847</v>
          </cell>
          <cell r="B1054" t="str">
            <v>CO</v>
          </cell>
          <cell r="C1054" t="str">
            <v>CAMACHO CASTILLO LUIS CARLOS</v>
          </cell>
        </row>
        <row r="1055">
          <cell r="A1055">
            <v>91362748</v>
          </cell>
          <cell r="B1055" t="str">
            <v>CO</v>
          </cell>
          <cell r="C1055" t="str">
            <v>NOVA NOVA MARCOS FIDEL</v>
          </cell>
        </row>
        <row r="1056">
          <cell r="A1056">
            <v>91423143</v>
          </cell>
          <cell r="B1056" t="str">
            <v>CO</v>
          </cell>
          <cell r="C1056" t="str">
            <v>CARLOS ALFREDO RINCON MIRANDA</v>
          </cell>
        </row>
        <row r="1057">
          <cell r="A1057">
            <v>91424233</v>
          </cell>
          <cell r="B1057" t="str">
            <v>CO</v>
          </cell>
          <cell r="C1057" t="str">
            <v>HECTOR IVAN MORENO BUENDIA</v>
          </cell>
        </row>
        <row r="1058">
          <cell r="A1058">
            <v>91424628</v>
          </cell>
          <cell r="B1058" t="str">
            <v>CO</v>
          </cell>
          <cell r="C1058" t="str">
            <v>AMARINDO QUEZADA TOVAR</v>
          </cell>
        </row>
        <row r="1059">
          <cell r="A1059">
            <v>91425096</v>
          </cell>
          <cell r="B1059" t="str">
            <v>CO</v>
          </cell>
          <cell r="C1059" t="str">
            <v>LANDINEZ MUÑOZ LUIS ALBERTO</v>
          </cell>
        </row>
        <row r="1060">
          <cell r="A1060">
            <v>91425429</v>
          </cell>
          <cell r="B1060" t="str">
            <v>CO</v>
          </cell>
          <cell r="C1060" t="str">
            <v>VALENTIN ROJAS ORTIZ</v>
          </cell>
        </row>
        <row r="1061">
          <cell r="A1061">
            <v>91426480</v>
          </cell>
          <cell r="B1061" t="str">
            <v>CO</v>
          </cell>
          <cell r="C1061" t="str">
            <v>GOMEZ TORRES ALFONSO LEON</v>
          </cell>
        </row>
        <row r="1062">
          <cell r="A1062">
            <v>91428059</v>
          </cell>
          <cell r="B1062" t="str">
            <v>CO</v>
          </cell>
          <cell r="C1062" t="str">
            <v>SANTIAGO ESPINOSA CARLOS ALBERTO</v>
          </cell>
        </row>
        <row r="1063">
          <cell r="A1063">
            <v>91428981</v>
          </cell>
          <cell r="B1063" t="str">
            <v>CO</v>
          </cell>
          <cell r="C1063" t="str">
            <v>ROMERO BUENO FLORENTINO</v>
          </cell>
        </row>
        <row r="1064">
          <cell r="A1064">
            <v>91429718</v>
          </cell>
          <cell r="B1064" t="str">
            <v>CO</v>
          </cell>
          <cell r="C1064" t="str">
            <v>GONZALEZ CUESTA RICARDO AUGUSTO</v>
          </cell>
        </row>
        <row r="1065">
          <cell r="A1065">
            <v>91429985</v>
          </cell>
          <cell r="B1065" t="str">
            <v>CO</v>
          </cell>
          <cell r="C1065" t="str">
            <v>SUAREZ LEON ALBERTO</v>
          </cell>
        </row>
        <row r="1066">
          <cell r="A1066">
            <v>91430624</v>
          </cell>
          <cell r="B1066" t="str">
            <v>CO</v>
          </cell>
          <cell r="C1066" t="str">
            <v>FREIDMAN NAJERA RODRIGUEZ</v>
          </cell>
        </row>
        <row r="1067">
          <cell r="A1067">
            <v>91431004</v>
          </cell>
          <cell r="B1067" t="str">
            <v>CO</v>
          </cell>
          <cell r="C1067" t="str">
            <v>PINZON PINZON MARIO</v>
          </cell>
        </row>
        <row r="1068">
          <cell r="A1068">
            <v>91432016</v>
          </cell>
          <cell r="B1068" t="str">
            <v>CO</v>
          </cell>
          <cell r="C1068" t="str">
            <v>VESGA GOMEZ CARLOS EDUARDO</v>
          </cell>
        </row>
        <row r="1069">
          <cell r="A1069">
            <v>91433082</v>
          </cell>
          <cell r="B1069" t="str">
            <v>CO</v>
          </cell>
          <cell r="C1069" t="str">
            <v>HELI NIEVES</v>
          </cell>
        </row>
        <row r="1070">
          <cell r="A1070">
            <v>91433928</v>
          </cell>
          <cell r="B1070" t="str">
            <v>CO</v>
          </cell>
          <cell r="C1070" t="str">
            <v>LARA MERCADO JULIO EBERTO</v>
          </cell>
        </row>
        <row r="1071">
          <cell r="A1071">
            <v>91434208</v>
          </cell>
          <cell r="B1071" t="str">
            <v>CO</v>
          </cell>
          <cell r="C1071" t="str">
            <v>RUBIANO HERMES</v>
          </cell>
        </row>
        <row r="1072">
          <cell r="A1072">
            <v>91434430</v>
          </cell>
          <cell r="B1072" t="str">
            <v>CO</v>
          </cell>
          <cell r="C1072" t="str">
            <v>MORA LOBO WILFREDO</v>
          </cell>
        </row>
        <row r="1073">
          <cell r="A1073">
            <v>91434793</v>
          </cell>
          <cell r="B1073" t="str">
            <v>CO</v>
          </cell>
          <cell r="C1073" t="str">
            <v>ELVIS DAVID ANGULO DIAZ</v>
          </cell>
        </row>
        <row r="1074">
          <cell r="A1074">
            <v>91435272</v>
          </cell>
          <cell r="B1074" t="str">
            <v>CO</v>
          </cell>
          <cell r="C1074" t="str">
            <v>RINCON ROJAS OMAR DARIO</v>
          </cell>
        </row>
        <row r="1075">
          <cell r="A1075">
            <v>91435694</v>
          </cell>
          <cell r="B1075" t="str">
            <v>CO</v>
          </cell>
          <cell r="C1075" t="str">
            <v>GUARNIZO ALVAREZ JUAN DIEGO</v>
          </cell>
        </row>
        <row r="1076">
          <cell r="A1076">
            <v>91444207</v>
          </cell>
          <cell r="B1076" t="str">
            <v>CO</v>
          </cell>
          <cell r="C1076" t="str">
            <v>CAMACHO JOSE VICENTE</v>
          </cell>
        </row>
        <row r="1077">
          <cell r="A1077">
            <v>91446221</v>
          </cell>
          <cell r="B1077" t="str">
            <v>CO</v>
          </cell>
          <cell r="C1077" t="str">
            <v>VESGA NIÑO MAURICIO</v>
          </cell>
        </row>
        <row r="1078">
          <cell r="A1078">
            <v>91446928</v>
          </cell>
          <cell r="B1078" t="str">
            <v>CO</v>
          </cell>
          <cell r="C1078" t="str">
            <v>HERNANDEZ MEJIA YOVANY</v>
          </cell>
        </row>
        <row r="1079">
          <cell r="A1079">
            <v>91454489</v>
          </cell>
          <cell r="B1079" t="str">
            <v>CO</v>
          </cell>
          <cell r="C1079" t="str">
            <v>RINCON GARCIA GREGORIO</v>
          </cell>
        </row>
        <row r="1080">
          <cell r="A1080">
            <v>91472326</v>
          </cell>
          <cell r="B1080" t="str">
            <v>CO</v>
          </cell>
          <cell r="C1080" t="str">
            <v>SANGUINO OREJUELA ARMANDO</v>
          </cell>
        </row>
        <row r="1081">
          <cell r="A1081">
            <v>91473121</v>
          </cell>
          <cell r="B1081" t="str">
            <v>CO</v>
          </cell>
          <cell r="C1081" t="str">
            <v>BAYONA PINTO LUIS FERNANDO</v>
          </cell>
        </row>
        <row r="1082">
          <cell r="A1082">
            <v>91477451</v>
          </cell>
          <cell r="B1082" t="str">
            <v>CO</v>
          </cell>
          <cell r="C1082" t="str">
            <v>LEON RUEDA JHON MARIO</v>
          </cell>
        </row>
        <row r="1083">
          <cell r="A1083">
            <v>91481189</v>
          </cell>
          <cell r="B1083" t="str">
            <v>CO</v>
          </cell>
          <cell r="C1083" t="str">
            <v>FONSECA MEZA JOSE WILSON</v>
          </cell>
        </row>
        <row r="1084">
          <cell r="A1084">
            <v>91490108</v>
          </cell>
          <cell r="B1084" t="str">
            <v>CO</v>
          </cell>
          <cell r="C1084" t="str">
            <v>GOMEZ GONZALEZ PEDRO NEL</v>
          </cell>
        </row>
        <row r="1085">
          <cell r="A1085">
            <v>91491537</v>
          </cell>
          <cell r="B1085" t="str">
            <v>CO</v>
          </cell>
          <cell r="C1085" t="str">
            <v>JOSE LUIS NIÑO MANCIPE</v>
          </cell>
        </row>
        <row r="1086">
          <cell r="A1086">
            <v>91497583</v>
          </cell>
          <cell r="B1086" t="str">
            <v>CO</v>
          </cell>
          <cell r="C1086" t="str">
            <v>DURAN SANCHEZ LUIS ERNESTO</v>
          </cell>
        </row>
        <row r="1087">
          <cell r="A1087">
            <v>91506531</v>
          </cell>
          <cell r="B1087" t="str">
            <v>CO</v>
          </cell>
          <cell r="C1087" t="str">
            <v>BENAVIDEZ FIGUEROA EDWIN ALBERTO</v>
          </cell>
        </row>
        <row r="1088">
          <cell r="A1088">
            <v>91507744</v>
          </cell>
          <cell r="B1088" t="str">
            <v>CO</v>
          </cell>
          <cell r="C1088" t="str">
            <v>TIRALDO CASTAÑEZ ALDO JOSE</v>
          </cell>
        </row>
        <row r="1089">
          <cell r="A1089">
            <v>91509017</v>
          </cell>
          <cell r="B1089" t="str">
            <v>CO</v>
          </cell>
          <cell r="C1089" t="str">
            <v>ICEDA RUIZ OSCAR IVAN</v>
          </cell>
        </row>
        <row r="1090">
          <cell r="A1090">
            <v>91509736</v>
          </cell>
          <cell r="B1090" t="str">
            <v>CO</v>
          </cell>
          <cell r="C1090" t="str">
            <v>CARRASQUILLA CARRASQUILLA RICARDO H</v>
          </cell>
        </row>
        <row r="1091">
          <cell r="A1091">
            <v>91519281</v>
          </cell>
          <cell r="B1091" t="str">
            <v>CO</v>
          </cell>
          <cell r="C1091" t="str">
            <v>TORRES CEDIEL SERGIO ANDRES</v>
          </cell>
        </row>
        <row r="1092">
          <cell r="A1092">
            <v>91519664</v>
          </cell>
          <cell r="B1092" t="str">
            <v>CO</v>
          </cell>
          <cell r="C1092" t="str">
            <v>RAMON ALBERTO PORRAS RUEDA</v>
          </cell>
        </row>
        <row r="1093">
          <cell r="A1093">
            <v>91521279</v>
          </cell>
          <cell r="B1093" t="str">
            <v>CO</v>
          </cell>
          <cell r="C1093" t="str">
            <v>RICHARD CAMILO CANO CLARO</v>
          </cell>
        </row>
        <row r="1094">
          <cell r="A1094">
            <v>91528124</v>
          </cell>
          <cell r="B1094" t="str">
            <v>CO</v>
          </cell>
          <cell r="C1094" t="str">
            <v>REYES COMBARIZA JAVIER MAURICIO</v>
          </cell>
        </row>
        <row r="1095">
          <cell r="A1095">
            <v>91530239</v>
          </cell>
          <cell r="B1095" t="str">
            <v>CO</v>
          </cell>
          <cell r="C1095" t="str">
            <v>MARTINEZ TAMARA MIGUEL DE JESUS</v>
          </cell>
        </row>
        <row r="1096">
          <cell r="A1096">
            <v>91531538</v>
          </cell>
          <cell r="B1096" t="str">
            <v>CO</v>
          </cell>
          <cell r="C1096" t="str">
            <v>SERGIO ALONSO PIMIENTO RONDON</v>
          </cell>
        </row>
        <row r="1097">
          <cell r="A1097">
            <v>91532813</v>
          </cell>
          <cell r="B1097" t="str">
            <v>CO</v>
          </cell>
          <cell r="C1097" t="str">
            <v>NAYCIR PEREZ CRISTIAN JOSE</v>
          </cell>
        </row>
        <row r="1098">
          <cell r="A1098">
            <v>91539986</v>
          </cell>
          <cell r="B1098" t="str">
            <v>CO</v>
          </cell>
          <cell r="C1098" t="str">
            <v>ZARATE GARCIA JAIME</v>
          </cell>
        </row>
        <row r="1099">
          <cell r="A1099">
            <v>91540228</v>
          </cell>
          <cell r="B1099" t="str">
            <v>CO</v>
          </cell>
          <cell r="C1099" t="str">
            <v>ORTEGA LEON EDUARDO RAFAEL</v>
          </cell>
        </row>
        <row r="1100">
          <cell r="A1100">
            <v>91540603</v>
          </cell>
          <cell r="B1100" t="str">
            <v>CO</v>
          </cell>
          <cell r="C1100" t="str">
            <v>GARCIA SOLORZANO ANDRES GUILLERMO</v>
          </cell>
        </row>
        <row r="1101">
          <cell r="A1101">
            <v>91540889</v>
          </cell>
          <cell r="B1101" t="str">
            <v>CO</v>
          </cell>
          <cell r="C1101" t="str">
            <v>SERGIO MAURICIO JAIMES LOPEZ</v>
          </cell>
        </row>
        <row r="1102">
          <cell r="A1102">
            <v>91542086</v>
          </cell>
          <cell r="B1102" t="str">
            <v>CO</v>
          </cell>
          <cell r="C1102" t="str">
            <v>JUAN ERASMO CONTRERAS SALAZAR</v>
          </cell>
        </row>
        <row r="1103">
          <cell r="A1103">
            <v>91542402</v>
          </cell>
          <cell r="B1103" t="str">
            <v>CO</v>
          </cell>
          <cell r="C1103" t="str">
            <v>OSCAR IVAN QUIROGA SERRANO</v>
          </cell>
        </row>
        <row r="1104">
          <cell r="A1104">
            <v>92229396</v>
          </cell>
          <cell r="B1104" t="str">
            <v>CO</v>
          </cell>
          <cell r="C1104" t="str">
            <v>PALMA VALERA JOSE</v>
          </cell>
        </row>
        <row r="1105">
          <cell r="A1105">
            <v>92505285</v>
          </cell>
          <cell r="B1105" t="str">
            <v>CO</v>
          </cell>
          <cell r="C1105" t="str">
            <v>ELVIS OLIVEROS</v>
          </cell>
        </row>
        <row r="1106">
          <cell r="A1106">
            <v>92518164</v>
          </cell>
          <cell r="B1106" t="str">
            <v>CO</v>
          </cell>
          <cell r="C1106" t="str">
            <v>DIAZ PEREZ JOSE IGNACIO</v>
          </cell>
        </row>
        <row r="1107">
          <cell r="A1107">
            <v>93084125</v>
          </cell>
          <cell r="B1107" t="str">
            <v>CO</v>
          </cell>
          <cell r="C1107" t="str">
            <v>LUIS ALCIDES DEVIA MONTALEGRE</v>
          </cell>
        </row>
        <row r="1108">
          <cell r="A1108">
            <v>93200975</v>
          </cell>
          <cell r="B1108" t="str">
            <v>CO</v>
          </cell>
          <cell r="C1108" t="str">
            <v>MEJIA PADILLA DANIEL ENRIQUE</v>
          </cell>
        </row>
        <row r="1109">
          <cell r="A1109">
            <v>93204797</v>
          </cell>
          <cell r="B1109" t="str">
            <v>CO</v>
          </cell>
          <cell r="C1109" t="str">
            <v>ROJAS ALAPE JORGE ELIECER</v>
          </cell>
        </row>
        <row r="1110">
          <cell r="A1110">
            <v>93206664</v>
          </cell>
          <cell r="B1110" t="str">
            <v>CO</v>
          </cell>
          <cell r="C1110" t="str">
            <v>NELSON BERNARDO GUERRA BARRIOS</v>
          </cell>
        </row>
        <row r="1111">
          <cell r="A1111">
            <v>93285543</v>
          </cell>
          <cell r="B1111" t="str">
            <v>CO</v>
          </cell>
          <cell r="C1111" t="str">
            <v>VANEGAS ALIRIO ANTONIO</v>
          </cell>
        </row>
        <row r="1112">
          <cell r="A1112">
            <v>93294853</v>
          </cell>
          <cell r="B1112" t="str">
            <v>CO</v>
          </cell>
          <cell r="C1112" t="str">
            <v>VERA LATORRE YONY</v>
          </cell>
        </row>
        <row r="1113">
          <cell r="A1113">
            <v>93297850</v>
          </cell>
          <cell r="B1113" t="str">
            <v>CO</v>
          </cell>
          <cell r="C1113" t="str">
            <v>LOMBANA BEDOYA EDWIN MAURICIO</v>
          </cell>
        </row>
        <row r="1114">
          <cell r="A1114">
            <v>93335880</v>
          </cell>
          <cell r="B1114" t="str">
            <v>CO</v>
          </cell>
          <cell r="C1114" t="str">
            <v>TORRES BOCANEGRA BENJAMIN</v>
          </cell>
        </row>
        <row r="1115">
          <cell r="A1115">
            <v>93341898</v>
          </cell>
          <cell r="B1115" t="str">
            <v>CO</v>
          </cell>
          <cell r="C1115" t="str">
            <v>GALLEGO HERNANDEZ JOANY FRANSINE</v>
          </cell>
        </row>
        <row r="1116">
          <cell r="A1116">
            <v>93417729</v>
          </cell>
          <cell r="B1116" t="str">
            <v>CO</v>
          </cell>
          <cell r="C1116" t="str">
            <v>MARTINEZ WILBER HERNAN</v>
          </cell>
        </row>
        <row r="1117">
          <cell r="A1117">
            <v>93418340</v>
          </cell>
          <cell r="B1117" t="str">
            <v>CO</v>
          </cell>
          <cell r="C1117" t="str">
            <v>HOYOS GOMEZ ALVARO AUGUSTO</v>
          </cell>
        </row>
        <row r="1118">
          <cell r="A1118">
            <v>93421783</v>
          </cell>
          <cell r="B1118" t="str">
            <v>CO</v>
          </cell>
          <cell r="C1118" t="str">
            <v>TORRES GONZALEZ HENRY FERNANDO</v>
          </cell>
        </row>
        <row r="1119">
          <cell r="A1119">
            <v>94287777</v>
          </cell>
          <cell r="B1119" t="str">
            <v>CO</v>
          </cell>
          <cell r="C1119" t="str">
            <v>LONDOÑO MEJIA HERLEY</v>
          </cell>
        </row>
        <row r="1120">
          <cell r="A1120">
            <v>94368630</v>
          </cell>
          <cell r="B1120" t="str">
            <v>CO</v>
          </cell>
          <cell r="C1120" t="str">
            <v>GONZALEZ VARGAS GERMAN</v>
          </cell>
        </row>
        <row r="1121">
          <cell r="A1121">
            <v>94390818</v>
          </cell>
          <cell r="B1121" t="str">
            <v>CO</v>
          </cell>
          <cell r="C1121" t="str">
            <v>RUSSY PARRA MARCO AURELIO</v>
          </cell>
        </row>
        <row r="1122">
          <cell r="A1122">
            <v>96185915</v>
          </cell>
          <cell r="B1122" t="str">
            <v>CO</v>
          </cell>
          <cell r="C1122" t="str">
            <v>MARTIN NOVA BARRERA</v>
          </cell>
        </row>
        <row r="1123">
          <cell r="A1123">
            <v>96186162</v>
          </cell>
          <cell r="B1123" t="str">
            <v>CO</v>
          </cell>
          <cell r="C1123" t="str">
            <v>MONTAÑEZ VARGAS MILTON JAVIER</v>
          </cell>
        </row>
        <row r="1124">
          <cell r="A1124">
            <v>98637590</v>
          </cell>
          <cell r="B1124" t="str">
            <v>CO</v>
          </cell>
          <cell r="C1124" t="str">
            <v>MUTIS ISAZA JICLY</v>
          </cell>
        </row>
        <row r="1125">
          <cell r="A1125">
            <v>107000409</v>
          </cell>
          <cell r="B1125" t="str">
            <v>CO</v>
          </cell>
          <cell r="C1125" t="str">
            <v>LEIDY GISELLE GIRALDO ARDILA</v>
          </cell>
        </row>
        <row r="1126">
          <cell r="A1126">
            <v>112182121</v>
          </cell>
          <cell r="B1126" t="str">
            <v>CO</v>
          </cell>
          <cell r="C1126" t="str">
            <v>RAMOS VELAZQUEZ EDWIN ALEXANDER</v>
          </cell>
        </row>
        <row r="1127">
          <cell r="A1127">
            <v>114390187</v>
          </cell>
          <cell r="B1127" t="str">
            <v>CO</v>
          </cell>
          <cell r="C1127" t="str">
            <v>BELTRAN PINZON FABIAN ESTID</v>
          </cell>
        </row>
        <row r="1128">
          <cell r="A1128">
            <v>222222222</v>
          </cell>
          <cell r="B1128" t="str">
            <v>CO</v>
          </cell>
          <cell r="C1128" t="str">
            <v>CUANTIAS MINIMAS</v>
          </cell>
        </row>
        <row r="1129">
          <cell r="A1129">
            <v>444444001</v>
          </cell>
          <cell r="B1129" t="str">
            <v>VE</v>
          </cell>
          <cell r="C1129" t="str">
            <v>BCP VEN</v>
          </cell>
        </row>
        <row r="1130">
          <cell r="A1130">
            <v>444444002</v>
          </cell>
          <cell r="B1130" t="str">
            <v>EC</v>
          </cell>
          <cell r="C1130" t="str">
            <v>TAJ BAR</v>
          </cell>
        </row>
        <row r="1131">
          <cell r="A1131">
            <v>444444003</v>
          </cell>
          <cell r="B1131" t="str">
            <v>BR</v>
          </cell>
          <cell r="C1131" t="str">
            <v>GUARUCOOP</v>
          </cell>
        </row>
        <row r="1132">
          <cell r="A1132">
            <v>444444004</v>
          </cell>
          <cell r="B1132" t="str">
            <v>BR</v>
          </cell>
          <cell r="C1132" t="str">
            <v>KARSTEN S/A</v>
          </cell>
        </row>
        <row r="1133">
          <cell r="A1133">
            <v>444444005</v>
          </cell>
          <cell r="B1133" t="str">
            <v>BR</v>
          </cell>
          <cell r="C1133" t="str">
            <v>AEROSERVICIOS</v>
          </cell>
        </row>
        <row r="1134">
          <cell r="A1134">
            <v>444444006</v>
          </cell>
          <cell r="B1134" t="str">
            <v>BR</v>
          </cell>
          <cell r="C1134" t="str">
            <v>CDR INFORMATICA</v>
          </cell>
        </row>
        <row r="1135">
          <cell r="A1135">
            <v>444444007</v>
          </cell>
          <cell r="B1135" t="str">
            <v>BR</v>
          </cell>
          <cell r="C1135" t="str">
            <v>ATRIO HOTEIS S/A</v>
          </cell>
        </row>
        <row r="1136">
          <cell r="A1136">
            <v>444444008</v>
          </cell>
          <cell r="B1136" t="str">
            <v>PA</v>
          </cell>
          <cell r="C1136" t="str">
            <v>HELM BANK PANAMA</v>
          </cell>
        </row>
        <row r="1137">
          <cell r="A1137">
            <v>444444009</v>
          </cell>
          <cell r="B1137" t="str">
            <v>BR</v>
          </cell>
          <cell r="C1137" t="str">
            <v>RA CATERING LTDA</v>
          </cell>
        </row>
        <row r="1138">
          <cell r="A1138">
            <v>444444010</v>
          </cell>
          <cell r="B1138" t="str">
            <v>US</v>
          </cell>
          <cell r="C1138" t="str">
            <v>ESP INTERNATIONAL INC</v>
          </cell>
        </row>
        <row r="1139">
          <cell r="A1139">
            <v>444444011</v>
          </cell>
          <cell r="B1139" t="str">
            <v>BR</v>
          </cell>
          <cell r="C1139" t="str">
            <v>NUGALI CHOCOLATIER</v>
          </cell>
        </row>
        <row r="1140">
          <cell r="A1140">
            <v>444444012</v>
          </cell>
          <cell r="B1140" t="str">
            <v>BR</v>
          </cell>
          <cell r="C1140" t="str">
            <v>RESTAURANTE MODEGO</v>
          </cell>
        </row>
        <row r="1141">
          <cell r="A1141">
            <v>444444013</v>
          </cell>
          <cell r="B1141" t="str">
            <v>BR</v>
          </cell>
          <cell r="C1141" t="str">
            <v>TARTHUREL PIZZARIA</v>
          </cell>
        </row>
        <row r="1142">
          <cell r="A1142">
            <v>444444014</v>
          </cell>
          <cell r="B1142" t="str">
            <v>BR</v>
          </cell>
          <cell r="C1142" t="str">
            <v>LOJAS AMERICANAS SA</v>
          </cell>
        </row>
        <row r="1143">
          <cell r="A1143">
            <v>444444015</v>
          </cell>
          <cell r="B1143" t="str">
            <v>BR</v>
          </cell>
          <cell r="C1143" t="str">
            <v>HOTEL SCHROEDER LTDA</v>
          </cell>
        </row>
        <row r="1144">
          <cell r="A1144">
            <v>444444016</v>
          </cell>
          <cell r="B1144" t="str">
            <v>CA</v>
          </cell>
          <cell r="C1144" t="str">
            <v>C-FER TECHNOLOGIES</v>
          </cell>
        </row>
        <row r="1145">
          <cell r="A1145">
            <v>444444017</v>
          </cell>
          <cell r="B1145" t="str">
            <v>BR</v>
          </cell>
          <cell r="C1145" t="str">
            <v>ROLF SCHOENFELDER ME</v>
          </cell>
        </row>
        <row r="1146">
          <cell r="A1146">
            <v>444444018</v>
          </cell>
          <cell r="B1146" t="str">
            <v>US</v>
          </cell>
          <cell r="C1146" t="str">
            <v>AMERICAN AIRLINES INC</v>
          </cell>
        </row>
        <row r="1147">
          <cell r="A1147">
            <v>444444019</v>
          </cell>
          <cell r="B1147" t="str">
            <v>BR</v>
          </cell>
          <cell r="C1147" t="str">
            <v>AUTO POSTO NORTE LTDA</v>
          </cell>
        </row>
        <row r="1148">
          <cell r="A1148">
            <v>444444020</v>
          </cell>
          <cell r="B1148" t="str">
            <v>BR</v>
          </cell>
          <cell r="C1148" t="str">
            <v>HOTEL GOYA PLAZA LTDA</v>
          </cell>
        </row>
        <row r="1149">
          <cell r="A1149">
            <v>444444021</v>
          </cell>
          <cell r="B1149" t="str">
            <v>BR</v>
          </cell>
          <cell r="C1149" t="str">
            <v>PETRO POSTO UNIAO LTDA</v>
          </cell>
        </row>
        <row r="1150">
          <cell r="A1150">
            <v>444444022</v>
          </cell>
          <cell r="B1150" t="str">
            <v>US</v>
          </cell>
          <cell r="C1150" t="str">
            <v>BCP US INERNATIONAL INC</v>
          </cell>
        </row>
        <row r="1151">
          <cell r="A1151">
            <v>444444023</v>
          </cell>
          <cell r="B1151" t="str">
            <v>BR</v>
          </cell>
          <cell r="C1151" t="str">
            <v>AEROSNACK ALIMENTOS LTDA</v>
          </cell>
        </row>
        <row r="1152">
          <cell r="A1152">
            <v>444444024</v>
          </cell>
          <cell r="B1152" t="str">
            <v>US</v>
          </cell>
          <cell r="C1152" t="str">
            <v>BDO INTERNATIONAL LIMITED</v>
          </cell>
        </row>
        <row r="1153">
          <cell r="A1153">
            <v>444444025</v>
          </cell>
          <cell r="B1153" t="str">
            <v>US</v>
          </cell>
          <cell r="C1153" t="str">
            <v>HANSEN LEASE &amp; RENTAL INC</v>
          </cell>
        </row>
        <row r="1154">
          <cell r="A1154">
            <v>444444026</v>
          </cell>
          <cell r="B1154" t="str">
            <v>BR</v>
          </cell>
          <cell r="C1154" t="str">
            <v>UBER LCADORA DE VEICULOS</v>
          </cell>
        </row>
        <row r="1155">
          <cell r="A1155">
            <v>444444027</v>
          </cell>
          <cell r="B1155" t="str">
            <v>BR</v>
          </cell>
          <cell r="C1155" t="str">
            <v>SUPER MERCADO ZONA SUL S/A</v>
          </cell>
        </row>
        <row r="1156">
          <cell r="A1156">
            <v>444444028</v>
          </cell>
          <cell r="B1156" t="str">
            <v>BR</v>
          </cell>
          <cell r="C1156" t="str">
            <v>SUPERMERCADO ECONOMICO LTDA</v>
          </cell>
        </row>
        <row r="1157">
          <cell r="A1157">
            <v>444444029</v>
          </cell>
          <cell r="B1157" t="str">
            <v>BR</v>
          </cell>
          <cell r="C1157" t="str">
            <v>CANERI GRILL CHURRASCARIA LTDA</v>
          </cell>
        </row>
        <row r="1158">
          <cell r="A1158">
            <v>444444030</v>
          </cell>
          <cell r="B1158" t="str">
            <v>BR</v>
          </cell>
          <cell r="C1158" t="str">
            <v>CONFEITARIA TORTEN PARADIES LTDA</v>
          </cell>
        </row>
        <row r="1159">
          <cell r="A1159">
            <v>444444031</v>
          </cell>
          <cell r="B1159" t="str">
            <v>BR</v>
          </cell>
          <cell r="C1159" t="str">
            <v>NETZSCH DO BRASIL IND E COM LTDA</v>
          </cell>
        </row>
        <row r="1160">
          <cell r="A1160">
            <v>444444032</v>
          </cell>
          <cell r="B1160" t="str">
            <v>BR</v>
          </cell>
          <cell r="C1160" t="str">
            <v>WMS SUPERMERCADOS DO BRASIL LTDA</v>
          </cell>
        </row>
        <row r="1161">
          <cell r="A1161">
            <v>444444033</v>
          </cell>
          <cell r="B1161" t="str">
            <v>BR</v>
          </cell>
          <cell r="C1161" t="str">
            <v>MARLI CENTER COM DE</v>
          </cell>
        </row>
        <row r="1162">
          <cell r="A1162">
            <v>444444034</v>
          </cell>
          <cell r="B1162" t="str">
            <v>US</v>
          </cell>
          <cell r="C1162" t="str">
            <v>FOUR POINTS BY SHERATON</v>
          </cell>
        </row>
        <row r="1163">
          <cell r="A1163">
            <v>444444035</v>
          </cell>
          <cell r="B1163" t="str">
            <v>BR</v>
          </cell>
          <cell r="C1163" t="str">
            <v>IANNONI EMPREENDIMENTOS</v>
          </cell>
        </row>
        <row r="1164">
          <cell r="A1164">
            <v>444444036</v>
          </cell>
          <cell r="B1164" t="str">
            <v>BR</v>
          </cell>
          <cell r="C1164" t="str">
            <v>POMERODE BAR REST E COM DE</v>
          </cell>
        </row>
        <row r="1165">
          <cell r="A1165">
            <v>444444037</v>
          </cell>
          <cell r="B1165" t="str">
            <v>EC</v>
          </cell>
          <cell r="C1165" t="str">
            <v>PROYECTOS INTEGRALES</v>
          </cell>
        </row>
        <row r="1166">
          <cell r="A1166">
            <v>444444038</v>
          </cell>
          <cell r="B1166" t="str">
            <v>BR</v>
          </cell>
          <cell r="C1166" t="str">
            <v>CINEPOLIS OPER DE CINEMAS</v>
          </cell>
        </row>
        <row r="1167">
          <cell r="A1167">
            <v>444444039</v>
          </cell>
          <cell r="B1167" t="str">
            <v>US</v>
          </cell>
          <cell r="C1167" t="str">
            <v>INTERNACIONAL RESTAURANTES</v>
          </cell>
        </row>
        <row r="1168">
          <cell r="A1168">
            <v>444444040</v>
          </cell>
          <cell r="B1168" t="str">
            <v>BR</v>
          </cell>
          <cell r="C1168" t="str">
            <v>PIZZARIA E CHURRASCARIA</v>
          </cell>
        </row>
        <row r="1169">
          <cell r="A1169">
            <v>444444041</v>
          </cell>
          <cell r="B1169" t="str">
            <v>BR</v>
          </cell>
          <cell r="C1169" t="str">
            <v>PANIFICADORA E CONFEITARIA</v>
          </cell>
        </row>
        <row r="1170">
          <cell r="A1170">
            <v>444444042</v>
          </cell>
          <cell r="B1170" t="str">
            <v>BR</v>
          </cell>
          <cell r="C1170" t="str">
            <v>FARMALAN COM DE PRODUCTOS</v>
          </cell>
        </row>
        <row r="1171">
          <cell r="A1171">
            <v>444444043</v>
          </cell>
          <cell r="B1171" t="str">
            <v>BR</v>
          </cell>
          <cell r="C1171" t="str">
            <v>SCHUMAN MOVEIS E</v>
          </cell>
        </row>
        <row r="1172">
          <cell r="A1172">
            <v>444444044</v>
          </cell>
          <cell r="B1172" t="str">
            <v>BR</v>
          </cell>
          <cell r="C1172" t="str">
            <v>JOCA COMERCIO DE MATERIAIS</v>
          </cell>
        </row>
        <row r="1173">
          <cell r="A1173">
            <v>444444045</v>
          </cell>
          <cell r="B1173" t="str">
            <v>US</v>
          </cell>
          <cell r="C1173" t="str">
            <v>MARCO ANTONIO GARCIA CASTRO</v>
          </cell>
        </row>
        <row r="1174">
          <cell r="A1174">
            <v>444444046</v>
          </cell>
          <cell r="B1174" t="str">
            <v>US</v>
          </cell>
          <cell r="C1174" t="str">
            <v>TORY TECHNOLOGIES INC</v>
          </cell>
        </row>
        <row r="1175">
          <cell r="A1175">
            <v>444444047</v>
          </cell>
          <cell r="B1175" t="str">
            <v>US</v>
          </cell>
          <cell r="C1175" t="str">
            <v>PUFFER-SWEIVEN</v>
          </cell>
        </row>
        <row r="1176">
          <cell r="A1176">
            <v>444444048</v>
          </cell>
          <cell r="B1176" t="str">
            <v>US</v>
          </cell>
          <cell r="C1176" t="str">
            <v>NEW SOUTH PARKING</v>
          </cell>
        </row>
        <row r="1177">
          <cell r="A1177">
            <v>444444049</v>
          </cell>
          <cell r="B1177" t="str">
            <v>US</v>
          </cell>
          <cell r="C1177" t="str">
            <v>IHOP</v>
          </cell>
        </row>
        <row r="1178">
          <cell r="A1178">
            <v>444444050</v>
          </cell>
          <cell r="B1178" t="str">
            <v>US</v>
          </cell>
          <cell r="C1178" t="str">
            <v>OLIVE GARDEN 1040</v>
          </cell>
        </row>
        <row r="1179">
          <cell r="A1179">
            <v>444444051</v>
          </cell>
          <cell r="B1179" t="str">
            <v>US</v>
          </cell>
          <cell r="C1179" t="str">
            <v>RED LOBSTER 0841</v>
          </cell>
        </row>
        <row r="1180">
          <cell r="A1180">
            <v>444444052</v>
          </cell>
          <cell r="B1180" t="str">
            <v>US</v>
          </cell>
          <cell r="C1180" t="str">
            <v>HMSHOST BUENA VISTA</v>
          </cell>
        </row>
        <row r="1181">
          <cell r="A1181">
            <v>444444053</v>
          </cell>
          <cell r="B1181" t="str">
            <v>PA</v>
          </cell>
          <cell r="C1181" t="str">
            <v>O &amp; G INVESMENT INC</v>
          </cell>
        </row>
        <row r="1182">
          <cell r="A1182">
            <v>444444054</v>
          </cell>
          <cell r="B1182" t="str">
            <v>PA</v>
          </cell>
          <cell r="C1182" t="str">
            <v>BANCOLOMBIA PANAMA</v>
          </cell>
        </row>
        <row r="1183">
          <cell r="A1183">
            <v>444444056</v>
          </cell>
          <cell r="B1183" t="str">
            <v>US</v>
          </cell>
          <cell r="C1183" t="str">
            <v>GE TRANSPORTATION PARTS LLC</v>
          </cell>
        </row>
        <row r="1184">
          <cell r="A1184">
            <v>444444057</v>
          </cell>
          <cell r="B1184" t="str">
            <v>US</v>
          </cell>
          <cell r="C1184" t="str">
            <v>INTEGRAL PROYECT</v>
          </cell>
        </row>
        <row r="1185">
          <cell r="A1185">
            <v>444444058</v>
          </cell>
          <cell r="B1185" t="str">
            <v>US</v>
          </cell>
          <cell r="C1185" t="str">
            <v>SHERATON TAMPA RIVERWALK HOTEL</v>
          </cell>
        </row>
        <row r="1186">
          <cell r="A1186">
            <v>444444059</v>
          </cell>
          <cell r="B1186" t="str">
            <v>US</v>
          </cell>
          <cell r="C1186" t="str">
            <v>MALIOS PRIME</v>
          </cell>
        </row>
        <row r="1187">
          <cell r="A1187">
            <v>444444060</v>
          </cell>
          <cell r="B1187" t="str">
            <v>US</v>
          </cell>
          <cell r="C1187" t="str">
            <v>CONFORT INN ORLANDO</v>
          </cell>
        </row>
        <row r="1188">
          <cell r="A1188">
            <v>444444061</v>
          </cell>
          <cell r="B1188" t="str">
            <v>BR</v>
          </cell>
          <cell r="C1188" t="str">
            <v>BCP BRA</v>
          </cell>
        </row>
        <row r="1189">
          <cell r="A1189">
            <v>444444062</v>
          </cell>
          <cell r="B1189" t="str">
            <v>US</v>
          </cell>
          <cell r="C1189" t="str">
            <v>METRON SA ENERGY APPLICATIONS</v>
          </cell>
        </row>
        <row r="1190">
          <cell r="A1190">
            <v>444444064</v>
          </cell>
          <cell r="B1190" t="str">
            <v>US</v>
          </cell>
          <cell r="C1190" t="str">
            <v>DOMINION TECHONOGIES LLC</v>
          </cell>
        </row>
        <row r="1191">
          <cell r="A1191">
            <v>444444065</v>
          </cell>
          <cell r="B1191" t="str">
            <v>US</v>
          </cell>
          <cell r="C1191" t="str">
            <v>INTEGRAL PROJECTS INTERNATIONAL INC</v>
          </cell>
        </row>
        <row r="1192">
          <cell r="A1192">
            <v>444444066</v>
          </cell>
          <cell r="B1192" t="str">
            <v>US</v>
          </cell>
          <cell r="C1192" t="str">
            <v>POWER TEAM GENERATION INC</v>
          </cell>
        </row>
        <row r="1193">
          <cell r="A1193">
            <v>444444067</v>
          </cell>
          <cell r="B1193" t="str">
            <v>US</v>
          </cell>
          <cell r="C1193" t="str">
            <v>HERTZ RENT A CAR</v>
          </cell>
        </row>
        <row r="1194">
          <cell r="A1194">
            <v>444444068</v>
          </cell>
          <cell r="B1194" t="str">
            <v>EU</v>
          </cell>
          <cell r="C1194" t="str">
            <v>FAIRFIELD INN CENTRAL</v>
          </cell>
        </row>
        <row r="1195">
          <cell r="A1195">
            <v>444444069</v>
          </cell>
          <cell r="B1195" t="str">
            <v>US</v>
          </cell>
          <cell r="C1195" t="str">
            <v>THERMO CENSE INC</v>
          </cell>
        </row>
        <row r="1196">
          <cell r="A1196">
            <v>444444070</v>
          </cell>
          <cell r="B1196" t="str">
            <v>VE</v>
          </cell>
          <cell r="C1196" t="str">
            <v>CONVIASA</v>
          </cell>
        </row>
        <row r="1197">
          <cell r="A1197">
            <v>444444400</v>
          </cell>
          <cell r="B1197" t="str">
            <v>US</v>
          </cell>
          <cell r="C1197" t="str">
            <v>CTI FLORIDA</v>
          </cell>
        </row>
        <row r="1198">
          <cell r="A1198">
            <v>444444401</v>
          </cell>
          <cell r="B1198" t="str">
            <v>US</v>
          </cell>
          <cell r="C1198" t="str">
            <v>METRIX INSTRUMENT Co LP</v>
          </cell>
        </row>
        <row r="1199">
          <cell r="A1199">
            <v>444444444</v>
          </cell>
          <cell r="B1199" t="str">
            <v>CO</v>
          </cell>
          <cell r="C1199" t="str">
            <v>CUANTIAS MINIMAS DEL EXTERIOR</v>
          </cell>
        </row>
        <row r="1200">
          <cell r="A1200">
            <v>530031012</v>
          </cell>
          <cell r="B1200" t="str">
            <v>CO</v>
          </cell>
          <cell r="C1200" t="str">
            <v>AMADO ANGULO SANDRA VIVIANA</v>
          </cell>
        </row>
        <row r="1201">
          <cell r="A1201">
            <v>650053527</v>
          </cell>
          <cell r="B1201" t="str">
            <v>CO</v>
          </cell>
          <cell r="C1201" t="str">
            <v>ULISES EUGENIO MARTINEZ MORA</v>
          </cell>
        </row>
        <row r="1202">
          <cell r="A1202">
            <v>680272718</v>
          </cell>
          <cell r="B1202" t="str">
            <v>CO</v>
          </cell>
          <cell r="C1202" t="str">
            <v>HALABY RAFIK KANY</v>
          </cell>
        </row>
        <row r="1203">
          <cell r="A1203">
            <v>680417713</v>
          </cell>
          <cell r="B1203" t="str">
            <v>CO</v>
          </cell>
          <cell r="C1203" t="str">
            <v>GARCIA HERREROS MAURICIO EDUARDO</v>
          </cell>
        </row>
        <row r="1204">
          <cell r="A1204">
            <v>700017768</v>
          </cell>
          <cell r="B1204" t="str">
            <v>CO</v>
          </cell>
          <cell r="C1204" t="str">
            <v>SUAREZ JENNIFER A</v>
          </cell>
        </row>
        <row r="1205">
          <cell r="A1205">
            <v>700025457</v>
          </cell>
          <cell r="B1205" t="str">
            <v>CO</v>
          </cell>
          <cell r="C1205" t="str">
            <v>GERMAN ANDRES RODRIGUEZ GALAN</v>
          </cell>
        </row>
        <row r="1206">
          <cell r="A1206">
            <v>700078145</v>
          </cell>
          <cell r="B1206" t="str">
            <v>CO</v>
          </cell>
          <cell r="C1206" t="str">
            <v>GARZON CARDENAS DANY ESTEBAN</v>
          </cell>
        </row>
        <row r="1207">
          <cell r="A1207">
            <v>700134023</v>
          </cell>
          <cell r="B1207" t="str">
            <v>CO</v>
          </cell>
          <cell r="C1207" t="str">
            <v>KARENT MARCELA DUARTE NARANJO</v>
          </cell>
        </row>
        <row r="1208">
          <cell r="A1208">
            <v>795576329</v>
          </cell>
          <cell r="B1208" t="str">
            <v>CO</v>
          </cell>
          <cell r="C1208" t="str">
            <v>GAITAN SERVITECA</v>
          </cell>
        </row>
        <row r="1209">
          <cell r="A1209">
            <v>800002030</v>
          </cell>
          <cell r="B1209" t="str">
            <v>CO</v>
          </cell>
          <cell r="C1209" t="str">
            <v>COLSEIN LTDA</v>
          </cell>
        </row>
        <row r="1210">
          <cell r="A1210">
            <v>800003383</v>
          </cell>
          <cell r="B1210" t="str">
            <v>CO</v>
          </cell>
          <cell r="C1210" t="str">
            <v>RUEDA GARZON SAS</v>
          </cell>
        </row>
        <row r="1211">
          <cell r="A1211">
            <v>800007813</v>
          </cell>
          <cell r="B1211" t="str">
            <v>CO</v>
          </cell>
          <cell r="C1211" t="str">
            <v>GAS NATURAL</v>
          </cell>
        </row>
        <row r="1212">
          <cell r="A1212">
            <v>800008151</v>
          </cell>
          <cell r="B1212" t="str">
            <v>CO</v>
          </cell>
          <cell r="C1212" t="str">
            <v>ELECTRICOS IMPORTADOS SA</v>
          </cell>
        </row>
        <row r="1213">
          <cell r="A1213">
            <v>800008639</v>
          </cell>
          <cell r="B1213" t="str">
            <v>CO</v>
          </cell>
          <cell r="C1213" t="str">
            <v>INGENIERIA ESPECIALIZADA DE</v>
          </cell>
        </row>
        <row r="1214">
          <cell r="A1214">
            <v>800010724</v>
          </cell>
          <cell r="B1214" t="str">
            <v>CO</v>
          </cell>
          <cell r="C1214" t="str">
            <v>INDUSTRIAS VERACRUZ SCS</v>
          </cell>
        </row>
        <row r="1215">
          <cell r="A1215">
            <v>800011809</v>
          </cell>
          <cell r="B1215" t="str">
            <v>CO</v>
          </cell>
          <cell r="C1215" t="str">
            <v>SUMINISTROS HIDRAHULICOS SAS</v>
          </cell>
        </row>
        <row r="1216">
          <cell r="A1216">
            <v>800014875</v>
          </cell>
          <cell r="B1216" t="str">
            <v>CO</v>
          </cell>
          <cell r="C1216" t="str">
            <v>TELESENTINEL LTDA.</v>
          </cell>
        </row>
        <row r="1217">
          <cell r="A1217">
            <v>800015994</v>
          </cell>
          <cell r="B1217" t="str">
            <v>CO</v>
          </cell>
          <cell r="C1217" t="str">
            <v>ROSCADOS Y PARTES LTDA</v>
          </cell>
        </row>
        <row r="1218">
          <cell r="A1218">
            <v>800016011</v>
          </cell>
          <cell r="B1218" t="str">
            <v>CO</v>
          </cell>
          <cell r="C1218" t="str">
            <v>FOTO NOVENTA LTDA</v>
          </cell>
        </row>
        <row r="1219">
          <cell r="A1219">
            <v>800017218</v>
          </cell>
          <cell r="B1219" t="str">
            <v>CO</v>
          </cell>
          <cell r="C1219" t="str">
            <v>ASSO LTDA</v>
          </cell>
        </row>
        <row r="1220">
          <cell r="A1220">
            <v>800017584</v>
          </cell>
          <cell r="B1220" t="str">
            <v>CO</v>
          </cell>
          <cell r="C1220" t="str">
            <v>COMPAÑIA LIBERTADOR SA</v>
          </cell>
        </row>
        <row r="1221">
          <cell r="A1221">
            <v>800019300</v>
          </cell>
          <cell r="B1221" t="str">
            <v>CO</v>
          </cell>
          <cell r="C1221" t="str">
            <v>ASOCIACION GREMIAL CIVICA CN</v>
          </cell>
        </row>
        <row r="1222">
          <cell r="A1222">
            <v>800021272</v>
          </cell>
          <cell r="B1222" t="str">
            <v>CO</v>
          </cell>
          <cell r="C1222" t="str">
            <v>LLANOGAS SA EPS</v>
          </cell>
        </row>
        <row r="1223">
          <cell r="A1223">
            <v>800022001</v>
          </cell>
          <cell r="B1223" t="str">
            <v>CO</v>
          </cell>
          <cell r="C1223" t="str">
            <v>FOTO MOTO LTDA</v>
          </cell>
        </row>
        <row r="1224">
          <cell r="A1224">
            <v>800026284</v>
          </cell>
          <cell r="B1224" t="str">
            <v>CO</v>
          </cell>
          <cell r="C1224" t="str">
            <v>CAMARA COLOMBIANA DE SERVICIOS</v>
          </cell>
        </row>
        <row r="1225">
          <cell r="A1225">
            <v>800030062</v>
          </cell>
          <cell r="B1225" t="str">
            <v>CO</v>
          </cell>
          <cell r="C1225" t="str">
            <v>AMERICAN CAR RENTAL</v>
          </cell>
        </row>
        <row r="1226">
          <cell r="A1226">
            <v>800037199</v>
          </cell>
          <cell r="B1226" t="str">
            <v>CO</v>
          </cell>
          <cell r="C1226" t="str">
            <v>PETROBRAS SALITRE</v>
          </cell>
        </row>
        <row r="1227">
          <cell r="A1227">
            <v>800041607</v>
          </cell>
          <cell r="B1227" t="str">
            <v>CO</v>
          </cell>
          <cell r="C1227" t="str">
            <v>JARRIS S LTDA</v>
          </cell>
        </row>
        <row r="1228">
          <cell r="A1228">
            <v>800045250</v>
          </cell>
          <cell r="B1228" t="str">
            <v>CO</v>
          </cell>
          <cell r="C1228" t="str">
            <v>MANUEL GAITAN E HIJOS Y CIA S EN C</v>
          </cell>
        </row>
        <row r="1229">
          <cell r="A1229">
            <v>800047908</v>
          </cell>
          <cell r="B1229" t="str">
            <v>CO</v>
          </cell>
          <cell r="C1229" t="str">
            <v>FERRETERIA MALLAS Y GAVIONES LTDA</v>
          </cell>
        </row>
        <row r="1230">
          <cell r="A1230">
            <v>800050644</v>
          </cell>
          <cell r="B1230" t="str">
            <v>CO</v>
          </cell>
          <cell r="C1230" t="str">
            <v>ELECTRO MARCAS LTDA</v>
          </cell>
        </row>
        <row r="1231">
          <cell r="A1231">
            <v>800055803</v>
          </cell>
          <cell r="B1231" t="str">
            <v>CO</v>
          </cell>
          <cell r="C1231" t="str">
            <v>REPRESENTACIONES IND. RDV LTDA</v>
          </cell>
        </row>
        <row r="1232">
          <cell r="A1232">
            <v>800056712</v>
          </cell>
          <cell r="B1232" t="str">
            <v>CO</v>
          </cell>
          <cell r="C1232" t="str">
            <v>CC COMERCIAL BULEVAR</v>
          </cell>
        </row>
        <row r="1233">
          <cell r="A1233">
            <v>800060572</v>
          </cell>
          <cell r="B1233" t="str">
            <v>CO</v>
          </cell>
          <cell r="C1233" t="str">
            <v>REYMON REPARACION MANTENIMIENTO</v>
          </cell>
        </row>
        <row r="1234">
          <cell r="A1234">
            <v>800062591</v>
          </cell>
          <cell r="B1234" t="str">
            <v>CO</v>
          </cell>
          <cell r="C1234" t="str">
            <v>NEUMATICA DEL CARIBE SA</v>
          </cell>
        </row>
        <row r="1235">
          <cell r="A1235">
            <v>800067737</v>
          </cell>
          <cell r="B1235" t="str">
            <v>CO</v>
          </cell>
          <cell r="C1235" t="str">
            <v>INSPEC INGENIERIA LTDA</v>
          </cell>
        </row>
        <row r="1236">
          <cell r="A1236">
            <v>800070993</v>
          </cell>
          <cell r="B1236" t="str">
            <v>CO</v>
          </cell>
          <cell r="C1236" t="str">
            <v>MOTO PLANTAS BRISTOL S.A.S</v>
          </cell>
        </row>
        <row r="1237">
          <cell r="A1237">
            <v>800071617</v>
          </cell>
          <cell r="B1237" t="str">
            <v>CO</v>
          </cell>
          <cell r="C1237" t="str">
            <v>CUMMINS DE LOS ANDES SA</v>
          </cell>
        </row>
        <row r="1238">
          <cell r="A1238">
            <v>800076770</v>
          </cell>
          <cell r="B1238" t="str">
            <v>CO</v>
          </cell>
          <cell r="C1238" t="str">
            <v>CORRIENTE ALTERNA LTDA</v>
          </cell>
        </row>
        <row r="1239">
          <cell r="A1239">
            <v>800078300</v>
          </cell>
          <cell r="B1239" t="str">
            <v>CO</v>
          </cell>
          <cell r="C1239" t="str">
            <v>CIVALCO LTDA</v>
          </cell>
        </row>
        <row r="1240">
          <cell r="A1240">
            <v>800079035</v>
          </cell>
          <cell r="B1240" t="str">
            <v>CO</v>
          </cell>
          <cell r="C1240" t="str">
            <v>MUNICIPIO DE PUERTO GAITAN</v>
          </cell>
        </row>
        <row r="1241">
          <cell r="A1241">
            <v>800080705</v>
          </cell>
          <cell r="B1241" t="str">
            <v>CO</v>
          </cell>
          <cell r="C1241" t="str">
            <v>HACIENDA SANTA BARBARA</v>
          </cell>
        </row>
        <row r="1242">
          <cell r="A1242">
            <v>800082665</v>
          </cell>
          <cell r="B1242" t="str">
            <v>CO</v>
          </cell>
          <cell r="C1242" t="str">
            <v>FEDERACION COLOMBIANA DE MUNICIPIOS</v>
          </cell>
        </row>
        <row r="1243">
          <cell r="A1243">
            <v>800084279</v>
          </cell>
          <cell r="B1243" t="str">
            <v>CO</v>
          </cell>
          <cell r="C1243" t="str">
            <v>GIL Y BOHORQUEZ LIMITADA</v>
          </cell>
        </row>
        <row r="1244">
          <cell r="A1244">
            <v>800085013</v>
          </cell>
          <cell r="B1244" t="str">
            <v>CO</v>
          </cell>
          <cell r="C1244" t="str">
            <v>COMPLEJO COMERCIAL CENTRO CHIA</v>
          </cell>
        </row>
        <row r="1245">
          <cell r="A1245">
            <v>800088494</v>
          </cell>
          <cell r="B1245" t="str">
            <v>CO</v>
          </cell>
          <cell r="C1245" t="str">
            <v>E N D LTDA</v>
          </cell>
        </row>
        <row r="1246">
          <cell r="A1246">
            <v>800088702</v>
          </cell>
          <cell r="B1246" t="str">
            <v>CO</v>
          </cell>
          <cell r="C1246" t="str">
            <v>SURA EPS</v>
          </cell>
        </row>
        <row r="1247">
          <cell r="A1247">
            <v>800092967</v>
          </cell>
          <cell r="B1247" t="str">
            <v>CO</v>
          </cell>
          <cell r="C1247" t="str">
            <v>INDUSTRIAS DONSSON LTDA</v>
          </cell>
        </row>
        <row r="1248">
          <cell r="A1248">
            <v>800095036</v>
          </cell>
          <cell r="B1248" t="str">
            <v>CO</v>
          </cell>
          <cell r="C1248" t="str">
            <v>DLK S A</v>
          </cell>
        </row>
        <row r="1249">
          <cell r="A1249">
            <v>800095174</v>
          </cell>
          <cell r="B1249" t="str">
            <v>CO</v>
          </cell>
          <cell r="C1249" t="str">
            <v>ALCALDIA MUNICIPAL DE TENJO</v>
          </cell>
        </row>
        <row r="1250">
          <cell r="A1250">
            <v>800095254</v>
          </cell>
          <cell r="B1250" t="str">
            <v>CO</v>
          </cell>
          <cell r="C1250" t="str">
            <v>AMERICAN AIRLINES</v>
          </cell>
        </row>
        <row r="1251">
          <cell r="A1251">
            <v>800097884</v>
          </cell>
          <cell r="B1251" t="str">
            <v>CO</v>
          </cell>
          <cell r="C1251" t="str">
            <v>NICOLUKAS SA</v>
          </cell>
        </row>
        <row r="1252">
          <cell r="A1252">
            <v>800099460</v>
          </cell>
          <cell r="B1252" t="str">
            <v>CO</v>
          </cell>
          <cell r="C1252" t="str">
            <v>SOLUCIONES AUTOMATICAS LTDA</v>
          </cell>
        </row>
        <row r="1253">
          <cell r="A1253">
            <v>800103659</v>
          </cell>
          <cell r="B1253" t="str">
            <v>CO</v>
          </cell>
          <cell r="C1253" t="str">
            <v>MUNICIPIO DE PAZ DE ARIPORO</v>
          </cell>
        </row>
        <row r="1254">
          <cell r="A1254">
            <v>800106339</v>
          </cell>
          <cell r="B1254" t="str">
            <v>CO</v>
          </cell>
          <cell r="C1254" t="str">
            <v>COLMEDICA MEDICINA PREPAGADA - IPS</v>
          </cell>
        </row>
        <row r="1255">
          <cell r="A1255">
            <v>800109793</v>
          </cell>
          <cell r="B1255" t="str">
            <v>CO</v>
          </cell>
          <cell r="C1255" t="str">
            <v>PASCO FERRETERIA LTDA</v>
          </cell>
        </row>
        <row r="1256">
          <cell r="A1256">
            <v>800111561</v>
          </cell>
          <cell r="B1256" t="str">
            <v>CO</v>
          </cell>
          <cell r="C1256" t="str">
            <v>LA RURAL S.A.S.</v>
          </cell>
        </row>
        <row r="1257">
          <cell r="A1257">
            <v>800112440</v>
          </cell>
          <cell r="B1257" t="str">
            <v>CO</v>
          </cell>
          <cell r="C1257" t="str">
            <v>TORNILLOS Y PARTES PLAZA</v>
          </cell>
        </row>
        <row r="1258">
          <cell r="A1258">
            <v>800119025</v>
          </cell>
          <cell r="B1258" t="str">
            <v>CO</v>
          </cell>
          <cell r="C1258" t="str">
            <v>METCOL LTDA</v>
          </cell>
        </row>
        <row r="1259">
          <cell r="A1259">
            <v>800119988</v>
          </cell>
          <cell r="B1259" t="str">
            <v>CO</v>
          </cell>
          <cell r="C1259" t="str">
            <v>SUPERINTENDENCIA DE NOTARIADO</v>
          </cell>
        </row>
        <row r="1260">
          <cell r="A1260">
            <v>800121606</v>
          </cell>
          <cell r="B1260" t="str">
            <v>CO</v>
          </cell>
          <cell r="C1260" t="str">
            <v>HERNAN ESCOBAR POSADA</v>
          </cell>
        </row>
        <row r="1261">
          <cell r="A1261">
            <v>800130907</v>
          </cell>
          <cell r="B1261" t="str">
            <v>CO</v>
          </cell>
          <cell r="C1261" t="str">
            <v>SALUD TOTAL EPS</v>
          </cell>
        </row>
        <row r="1262">
          <cell r="A1262">
            <v>800132369</v>
          </cell>
          <cell r="B1262" t="str">
            <v>CO</v>
          </cell>
          <cell r="C1262" t="str">
            <v>TECINCOL LTDA</v>
          </cell>
        </row>
        <row r="1263">
          <cell r="A1263">
            <v>800134773</v>
          </cell>
          <cell r="B1263" t="str">
            <v>CO</v>
          </cell>
          <cell r="C1263" t="str">
            <v>SOLINOFF CORP SA</v>
          </cell>
        </row>
        <row r="1264">
          <cell r="A1264">
            <v>800140949</v>
          </cell>
          <cell r="B1264" t="str">
            <v>CO</v>
          </cell>
          <cell r="C1264" t="str">
            <v>CAFESALUD EPS</v>
          </cell>
        </row>
        <row r="1265">
          <cell r="A1265">
            <v>800142931</v>
          </cell>
          <cell r="B1265" t="str">
            <v>CO</v>
          </cell>
          <cell r="C1265" t="str">
            <v>SERCAFE SA</v>
          </cell>
        </row>
        <row r="1266">
          <cell r="A1266">
            <v>800144331</v>
          </cell>
          <cell r="B1266" t="str">
            <v>CO</v>
          </cell>
          <cell r="C1266" t="str">
            <v>PORVENIR PENSIONES SA</v>
          </cell>
        </row>
        <row r="1267">
          <cell r="A1267">
            <v>800144467</v>
          </cell>
          <cell r="B1267" t="str">
            <v>CO</v>
          </cell>
          <cell r="C1267" t="str">
            <v>FIDUCIARIA COLPATRIA SA</v>
          </cell>
        </row>
        <row r="1268">
          <cell r="A1268">
            <v>800150280</v>
          </cell>
          <cell r="B1268" t="str">
            <v>CO</v>
          </cell>
          <cell r="C1268" t="str">
            <v>FIDUCIARIA BANCOLOMBIA S A</v>
          </cell>
        </row>
        <row r="1269">
          <cell r="A1269">
            <v>800151003</v>
          </cell>
          <cell r="B1269" t="str">
            <v>CO</v>
          </cell>
          <cell r="C1269" t="str">
            <v>ELECTRO INDUSTRIALES BRA LTDA</v>
          </cell>
        </row>
        <row r="1270">
          <cell r="A1270">
            <v>800152703</v>
          </cell>
          <cell r="B1270" t="str">
            <v>CO</v>
          </cell>
          <cell r="C1270" t="str">
            <v>CONELEC INDUSTRIAL LTDA</v>
          </cell>
        </row>
        <row r="1271">
          <cell r="A1271">
            <v>800153993</v>
          </cell>
          <cell r="B1271" t="str">
            <v>CO</v>
          </cell>
          <cell r="C1271" t="str">
            <v>COMUNICACIONES CELULAR S.A.</v>
          </cell>
        </row>
        <row r="1272">
          <cell r="A1272">
            <v>800154155</v>
          </cell>
          <cell r="B1272" t="str">
            <v>CO</v>
          </cell>
          <cell r="C1272" t="str">
            <v>C.C. PLAZA DE LAS AMERICAS</v>
          </cell>
        </row>
        <row r="1273">
          <cell r="A1273">
            <v>800155057</v>
          </cell>
          <cell r="B1273" t="str">
            <v>CO</v>
          </cell>
          <cell r="C1273" t="str">
            <v>SEM INGENIERIA LTDA</v>
          </cell>
        </row>
        <row r="1274">
          <cell r="A1274">
            <v>800156354</v>
          </cell>
          <cell r="B1274" t="str">
            <v>CO</v>
          </cell>
          <cell r="C1274" t="str">
            <v>NATIONAL OIWELL VARCO DE COLOMBIA</v>
          </cell>
        </row>
        <row r="1275">
          <cell r="A1275">
            <v>800157023</v>
          </cell>
          <cell r="B1275" t="str">
            <v>CO</v>
          </cell>
          <cell r="C1275" t="str">
            <v>ENGICAST LTDA</v>
          </cell>
        </row>
        <row r="1276">
          <cell r="A1276">
            <v>800158644</v>
          </cell>
          <cell r="B1276" t="str">
            <v>CO</v>
          </cell>
          <cell r="C1276" t="str">
            <v>CENTRO TERAPEUTICO</v>
          </cell>
        </row>
        <row r="1277">
          <cell r="A1277">
            <v>800161978</v>
          </cell>
          <cell r="B1277" t="str">
            <v>CO</v>
          </cell>
          <cell r="C1277" t="str">
            <v>COMERCIALIZADORA SUPERESTRELLAS SAS</v>
          </cell>
        </row>
        <row r="1278">
          <cell r="A1278">
            <v>800163827</v>
          </cell>
          <cell r="B1278" t="str">
            <v>CO</v>
          </cell>
          <cell r="C1278" t="str">
            <v>ANDI ASISTENCIA</v>
          </cell>
        </row>
        <row r="1279">
          <cell r="A1279">
            <v>800168800</v>
          </cell>
          <cell r="B1279" t="str">
            <v>CO</v>
          </cell>
          <cell r="C1279" t="str">
            <v>FABRICA NACIONAL DE TANQUES LTDA</v>
          </cell>
        </row>
        <row r="1280">
          <cell r="A1280">
            <v>800170043</v>
          </cell>
          <cell r="B1280" t="str">
            <v>CO</v>
          </cell>
          <cell r="C1280" t="str">
            <v>PORVENIR CESANTIAS</v>
          </cell>
        </row>
        <row r="1281">
          <cell r="A1281">
            <v>800170181</v>
          </cell>
          <cell r="B1281" t="str">
            <v>CO</v>
          </cell>
          <cell r="C1281" t="str">
            <v>COOPERATIVA DE TRANSPORTADORES</v>
          </cell>
        </row>
        <row r="1282">
          <cell r="A1282">
            <v>800172663</v>
          </cell>
          <cell r="B1282" t="str">
            <v>CO</v>
          </cell>
          <cell r="C1282" t="str">
            <v>INTEMAQ LTDA</v>
          </cell>
        </row>
        <row r="1283">
          <cell r="A1283">
            <v>800173723</v>
          </cell>
          <cell r="B1283" t="str">
            <v>CO</v>
          </cell>
          <cell r="C1283" t="str">
            <v>MYSI SA</v>
          </cell>
        </row>
        <row r="1284">
          <cell r="A1284">
            <v>800176089</v>
          </cell>
          <cell r="B1284" t="str">
            <v>CO</v>
          </cell>
          <cell r="C1284" t="str">
            <v>SUPERINTENDENCIA DE INDUSTRIA Y COM</v>
          </cell>
        </row>
        <row r="1285">
          <cell r="A1285">
            <v>800177133</v>
          </cell>
          <cell r="B1285" t="str">
            <v>CO</v>
          </cell>
          <cell r="C1285" t="str">
            <v>MAHECHA BAIZ S.A.</v>
          </cell>
        </row>
        <row r="1286">
          <cell r="A1286">
            <v>800180687</v>
          </cell>
          <cell r="B1286" t="str">
            <v>CO</v>
          </cell>
          <cell r="C1286" t="str">
            <v>CARTERA COLECTIVA ABIERTA</v>
          </cell>
        </row>
        <row r="1287">
          <cell r="A1287">
            <v>800182042</v>
          </cell>
          <cell r="B1287" t="str">
            <v>CO</v>
          </cell>
          <cell r="C1287" t="str">
            <v>COMERCIALIZADORA BECOR S.A.</v>
          </cell>
        </row>
        <row r="1288">
          <cell r="A1288">
            <v>800185306</v>
          </cell>
          <cell r="B1288" t="str">
            <v>CO</v>
          </cell>
          <cell r="C1288" t="str">
            <v>COLVANES LTDA</v>
          </cell>
        </row>
        <row r="1289">
          <cell r="A1289">
            <v>800185781</v>
          </cell>
          <cell r="B1289" t="str">
            <v>CO</v>
          </cell>
          <cell r="C1289" t="str">
            <v>AERO REPUBLICA</v>
          </cell>
        </row>
        <row r="1290">
          <cell r="A1290">
            <v>800189093</v>
          </cell>
          <cell r="B1290" t="str">
            <v>CO</v>
          </cell>
          <cell r="C1290" t="str">
            <v>CORP. PRODESARROLLO</v>
          </cell>
        </row>
        <row r="1291">
          <cell r="A1291">
            <v>800192857</v>
          </cell>
          <cell r="B1291" t="str">
            <v>CO</v>
          </cell>
          <cell r="C1291" t="str">
            <v>INVERSIONES VELEZ FORTICH</v>
          </cell>
        </row>
        <row r="1292">
          <cell r="A1292">
            <v>800197268</v>
          </cell>
          <cell r="B1292" t="str">
            <v>CO</v>
          </cell>
          <cell r="C1292" t="str">
            <v>DIRECCION DE IMPUESTOS Y</v>
          </cell>
        </row>
        <row r="1293">
          <cell r="A1293">
            <v>800198142</v>
          </cell>
          <cell r="B1293" t="str">
            <v>CO</v>
          </cell>
          <cell r="C1293" t="str">
            <v>SERVICIO DE INGENIERIA MECANICA</v>
          </cell>
        </row>
        <row r="1294">
          <cell r="A1294">
            <v>800198281</v>
          </cell>
          <cell r="B1294" t="str">
            <v>CO</v>
          </cell>
          <cell r="C1294" t="str">
            <v>FONDO DE PENSIONES PROTECCION</v>
          </cell>
        </row>
        <row r="1295">
          <cell r="A1295">
            <v>800198421</v>
          </cell>
          <cell r="B1295" t="str">
            <v>CO</v>
          </cell>
          <cell r="C1295" t="str">
            <v>SERVIMECOL LTDA</v>
          </cell>
        </row>
        <row r="1296">
          <cell r="A1296">
            <v>800198783</v>
          </cell>
          <cell r="B1296" t="str">
            <v>CO</v>
          </cell>
          <cell r="C1296" t="str">
            <v>T.H.L. NEGOCIOS E INGENIERIA</v>
          </cell>
        </row>
        <row r="1297">
          <cell r="A1297">
            <v>800199501</v>
          </cell>
          <cell r="B1297" t="str">
            <v>CO</v>
          </cell>
          <cell r="C1297" t="str">
            <v>CENTRO COMERCIAL Y DE NEGOCIOS</v>
          </cell>
        </row>
        <row r="1298">
          <cell r="A1298">
            <v>800210453</v>
          </cell>
          <cell r="B1298" t="str">
            <v>CO</v>
          </cell>
          <cell r="C1298" t="str">
            <v>MULTISOFTWARE TRANSACCIONAL SAS</v>
          </cell>
        </row>
        <row r="1299">
          <cell r="A1299">
            <v>800211407</v>
          </cell>
          <cell r="B1299" t="str">
            <v>CO</v>
          </cell>
          <cell r="C1299" t="str">
            <v>SOLOSOFT SAS</v>
          </cell>
        </row>
        <row r="1300">
          <cell r="A1300">
            <v>800213075</v>
          </cell>
          <cell r="B1300" t="str">
            <v>CO</v>
          </cell>
          <cell r="C1300" t="str">
            <v>RESTCAFE OMA S.A.</v>
          </cell>
        </row>
        <row r="1301">
          <cell r="A1301">
            <v>800214417</v>
          </cell>
          <cell r="B1301" t="str">
            <v>CO</v>
          </cell>
          <cell r="C1301" t="str">
            <v>CONSEJO PROFESIONAL NACIONAL DE</v>
          </cell>
        </row>
        <row r="1302">
          <cell r="A1302">
            <v>800214444</v>
          </cell>
          <cell r="B1302" t="str">
            <v>CO</v>
          </cell>
          <cell r="C1302" t="str">
            <v>TRANSPORTES REINA</v>
          </cell>
        </row>
        <row r="1303">
          <cell r="A1303">
            <v>800215807</v>
          </cell>
          <cell r="B1303" t="str">
            <v>CO</v>
          </cell>
          <cell r="C1303" t="str">
            <v>PEAJE BICENTENARIO</v>
          </cell>
        </row>
        <row r="1304">
          <cell r="A1304">
            <v>800217326</v>
          </cell>
          <cell r="B1304" t="str">
            <v>CO</v>
          </cell>
          <cell r="C1304" t="str">
            <v>MATERIALES COLOMBIA LTDA</v>
          </cell>
        </row>
        <row r="1305">
          <cell r="A1305">
            <v>800219876</v>
          </cell>
          <cell r="B1305" t="str">
            <v>CO</v>
          </cell>
          <cell r="C1305" t="str">
            <v>SODEXO SOLUCIONES DE</v>
          </cell>
        </row>
        <row r="1306">
          <cell r="A1306">
            <v>800221585</v>
          </cell>
          <cell r="B1306" t="str">
            <v>CO</v>
          </cell>
          <cell r="C1306" t="str">
            <v>DINVER LTDA</v>
          </cell>
        </row>
        <row r="1307">
          <cell r="A1307">
            <v>800224808</v>
          </cell>
          <cell r="B1307" t="str">
            <v>CO</v>
          </cell>
          <cell r="C1307" t="str">
            <v>FONDO DE PENSIONES OBLIGATORIAS</v>
          </cell>
        </row>
        <row r="1308">
          <cell r="A1308">
            <v>800226175</v>
          </cell>
          <cell r="B1308" t="str">
            <v>CO</v>
          </cell>
          <cell r="C1308" t="str">
            <v>ARP - COLMENA</v>
          </cell>
        </row>
        <row r="1309">
          <cell r="A1309">
            <v>800226215</v>
          </cell>
          <cell r="B1309" t="str">
            <v>CO</v>
          </cell>
          <cell r="C1309" t="str">
            <v>ALDIA LIMITADA</v>
          </cell>
        </row>
        <row r="1310">
          <cell r="A1310">
            <v>800226918</v>
          </cell>
          <cell r="B1310" t="str">
            <v>CO</v>
          </cell>
          <cell r="C1310" t="str">
            <v>TAME LINEA AEREA DEL ECUADOR</v>
          </cell>
        </row>
        <row r="1311">
          <cell r="A1311">
            <v>800227395</v>
          </cell>
          <cell r="B1311" t="str">
            <v>CO</v>
          </cell>
          <cell r="C1311" t="str">
            <v>SERVICIOS ELECTRONICOS</v>
          </cell>
        </row>
        <row r="1312">
          <cell r="A1312">
            <v>800227940</v>
          </cell>
          <cell r="B1312" t="str">
            <v>CO</v>
          </cell>
          <cell r="C1312" t="str">
            <v>COLFONDOS PENSIONES Y CESANTIAS</v>
          </cell>
        </row>
        <row r="1313">
          <cell r="A1313">
            <v>800228101</v>
          </cell>
          <cell r="B1313" t="str">
            <v>CO</v>
          </cell>
          <cell r="C1313" t="str">
            <v>FERRETERIA MUNDIAL LTDA</v>
          </cell>
        </row>
        <row r="1314">
          <cell r="A1314">
            <v>800229203</v>
          </cell>
          <cell r="B1314" t="str">
            <v>CO</v>
          </cell>
          <cell r="C1314" t="str">
            <v>QUEMVAPOR LTDA</v>
          </cell>
        </row>
        <row r="1315">
          <cell r="A1315">
            <v>800229482</v>
          </cell>
          <cell r="B1315" t="str">
            <v>CO</v>
          </cell>
          <cell r="C1315" t="str">
            <v>FERRESOLDA LTDA</v>
          </cell>
        </row>
        <row r="1316">
          <cell r="A1316">
            <v>800229739</v>
          </cell>
          <cell r="B1316" t="str">
            <v>CO</v>
          </cell>
          <cell r="C1316" t="str">
            <v>FONDO DE PENSIONES OBLIGATORIAS</v>
          </cell>
        </row>
        <row r="1317">
          <cell r="A1317">
            <v>800230233</v>
          </cell>
          <cell r="B1317" t="str">
            <v>CO</v>
          </cell>
          <cell r="C1317" t="str">
            <v>INELSA LTDA</v>
          </cell>
        </row>
        <row r="1318">
          <cell r="A1318">
            <v>800230444</v>
          </cell>
          <cell r="B1318" t="str">
            <v>CO</v>
          </cell>
          <cell r="C1318" t="str">
            <v>PARQUE AGROINDUSTRIAL DE OCCIDENTE</v>
          </cell>
        </row>
        <row r="1319">
          <cell r="A1319">
            <v>800231967</v>
          </cell>
          <cell r="B1319" t="str">
            <v>CO</v>
          </cell>
          <cell r="C1319" t="str">
            <v>HORIZONTE PENSIONES Y CESANTIAS</v>
          </cell>
        </row>
        <row r="1320">
          <cell r="A1320">
            <v>800237084</v>
          </cell>
          <cell r="B1320" t="str">
            <v>CO</v>
          </cell>
          <cell r="C1320" t="str">
            <v>TECNOLOGIA MECANICA APLICADA</v>
          </cell>
        </row>
        <row r="1321">
          <cell r="A1321">
            <v>800237412</v>
          </cell>
          <cell r="B1321" t="str">
            <v>CO</v>
          </cell>
          <cell r="C1321" t="str">
            <v>FERRICENTROS S.A.</v>
          </cell>
        </row>
        <row r="1322">
          <cell r="A1322">
            <v>800242106</v>
          </cell>
          <cell r="B1322" t="str">
            <v>CO</v>
          </cell>
          <cell r="C1322" t="str">
            <v>HOMCENTER SODIMAC CORONA S.A.</v>
          </cell>
        </row>
        <row r="1323">
          <cell r="A1323">
            <v>800242368</v>
          </cell>
          <cell r="B1323" t="str">
            <v>CO</v>
          </cell>
          <cell r="C1323" t="str">
            <v>AUTOCAFARO LTDA</v>
          </cell>
        </row>
        <row r="1324">
          <cell r="A1324">
            <v>800242722</v>
          </cell>
          <cell r="B1324" t="str">
            <v>CO</v>
          </cell>
          <cell r="C1324" t="str">
            <v>JMC ASOCIADOS</v>
          </cell>
        </row>
        <row r="1325">
          <cell r="A1325">
            <v>800244387</v>
          </cell>
          <cell r="B1325" t="str">
            <v>CO</v>
          </cell>
          <cell r="C1325" t="str">
            <v>ARCOS DORADOS COLOMBIA SA</v>
          </cell>
        </row>
        <row r="1326">
          <cell r="A1326">
            <v>800246985</v>
          </cell>
          <cell r="B1326" t="str">
            <v>CO</v>
          </cell>
          <cell r="C1326" t="str">
            <v>PROMOTORA APARTAMENTOS DANN</v>
          </cell>
        </row>
        <row r="1327">
          <cell r="A1327">
            <v>800249313</v>
          </cell>
          <cell r="B1327" t="str">
            <v>CO</v>
          </cell>
          <cell r="C1327" t="str">
            <v>MANSAROVAR ENERGY CORP</v>
          </cell>
        </row>
        <row r="1328">
          <cell r="A1328">
            <v>800250119</v>
          </cell>
          <cell r="B1328" t="str">
            <v>CO</v>
          </cell>
          <cell r="C1328" t="str">
            <v>SALUDCOOP EPS</v>
          </cell>
        </row>
        <row r="1329">
          <cell r="A1329">
            <v>800251440</v>
          </cell>
          <cell r="B1329" t="str">
            <v>CO</v>
          </cell>
          <cell r="C1329" t="str">
            <v>EPS SANITAS SA</v>
          </cell>
        </row>
        <row r="1330">
          <cell r="A1330">
            <v>800251569</v>
          </cell>
          <cell r="B1330" t="str">
            <v>CO</v>
          </cell>
          <cell r="C1330" t="str">
            <v>INTER RAPIDISIMO SA</v>
          </cell>
        </row>
        <row r="1331">
          <cell r="A1331">
            <v>800253055</v>
          </cell>
          <cell r="B1331" t="str">
            <v>CO</v>
          </cell>
          <cell r="C1331" t="str">
            <v>SKANDIA</v>
          </cell>
        </row>
        <row r="1332">
          <cell r="A1332">
            <v>800256769</v>
          </cell>
          <cell r="B1332" t="str">
            <v>CO</v>
          </cell>
          <cell r="C1332" t="str">
            <v>FIDECOMISO CONCESIONARIO CCFC SA</v>
          </cell>
        </row>
        <row r="1333">
          <cell r="A1333">
            <v>802006240</v>
          </cell>
          <cell r="B1333" t="str">
            <v>CO</v>
          </cell>
          <cell r="C1333" t="str">
            <v>INCLICOL VALVULAS &amp; CONEXIONES SC</v>
          </cell>
        </row>
        <row r="1334">
          <cell r="A1334">
            <v>802008793</v>
          </cell>
          <cell r="B1334" t="str">
            <v>CO</v>
          </cell>
          <cell r="C1334" t="str">
            <v>INSTERCOM SA</v>
          </cell>
        </row>
        <row r="1335">
          <cell r="A1335">
            <v>802021585</v>
          </cell>
          <cell r="B1335" t="str">
            <v>CO</v>
          </cell>
          <cell r="C1335" t="str">
            <v>INGELECTRICOS DEL NORTE SAS</v>
          </cell>
        </row>
        <row r="1336">
          <cell r="A1336">
            <v>804002433</v>
          </cell>
          <cell r="B1336" t="str">
            <v>CO</v>
          </cell>
          <cell r="C1336" t="str">
            <v>DESCONT SA</v>
          </cell>
        </row>
        <row r="1337">
          <cell r="A1337">
            <v>804005677</v>
          </cell>
          <cell r="B1337" t="str">
            <v>CO</v>
          </cell>
          <cell r="C1337" t="str">
            <v>TERRACAFE SOCIEDAD POR ACCIONES</v>
          </cell>
        </row>
        <row r="1338">
          <cell r="A1338">
            <v>804008892</v>
          </cell>
          <cell r="B1338" t="str">
            <v>CO</v>
          </cell>
          <cell r="C1338" t="str">
            <v>LA PUERTA DEL SOL EU</v>
          </cell>
        </row>
        <row r="1339">
          <cell r="A1339">
            <v>804009019</v>
          </cell>
          <cell r="B1339" t="str">
            <v>CO</v>
          </cell>
          <cell r="C1339" t="str">
            <v>REDIBA SA ESP</v>
          </cell>
        </row>
        <row r="1340">
          <cell r="A1340">
            <v>804012778</v>
          </cell>
          <cell r="B1340" t="str">
            <v>CO</v>
          </cell>
          <cell r="C1340" t="str">
            <v>LABORATORIO DIESEL UNIVERSAL LTDA</v>
          </cell>
        </row>
        <row r="1341">
          <cell r="A1341">
            <v>804014058</v>
          </cell>
          <cell r="B1341" t="str">
            <v>CO</v>
          </cell>
          <cell r="C1341" t="str">
            <v>EMPRESA DE TRANSPORTE</v>
          </cell>
        </row>
        <row r="1342">
          <cell r="A1342">
            <v>804015630</v>
          </cell>
          <cell r="B1342" t="str">
            <v>CO</v>
          </cell>
          <cell r="C1342" t="str">
            <v>BENJAMIN FLORES FLORES E HIJAS</v>
          </cell>
        </row>
        <row r="1343">
          <cell r="A1343">
            <v>804017138</v>
          </cell>
          <cell r="B1343" t="str">
            <v>CO</v>
          </cell>
          <cell r="C1343" t="str">
            <v>SIPESA LTDA</v>
          </cell>
        </row>
        <row r="1344">
          <cell r="A1344">
            <v>805000427</v>
          </cell>
          <cell r="B1344" t="str">
            <v>CO</v>
          </cell>
          <cell r="C1344" t="str">
            <v>COOMEVA EPS</v>
          </cell>
        </row>
        <row r="1345">
          <cell r="A1345">
            <v>805001157</v>
          </cell>
          <cell r="B1345" t="str">
            <v>CO</v>
          </cell>
          <cell r="C1345" t="str">
            <v>S.O.S. SERVICIO OCCIDENTAL DE SALUD</v>
          </cell>
        </row>
        <row r="1346">
          <cell r="A1346">
            <v>805006014</v>
          </cell>
          <cell r="B1346" t="str">
            <v>CO</v>
          </cell>
          <cell r="C1346" t="str">
            <v>DIRECTV COLOMBIA LTDA</v>
          </cell>
        </row>
        <row r="1347">
          <cell r="A1347">
            <v>805012622</v>
          </cell>
          <cell r="B1347" t="str">
            <v>CO</v>
          </cell>
          <cell r="C1347" t="str">
            <v>CONSORCIO DE RESTAURANTES SA</v>
          </cell>
        </row>
        <row r="1348">
          <cell r="A1348">
            <v>805017576</v>
          </cell>
          <cell r="B1348" t="str">
            <v>CO</v>
          </cell>
          <cell r="C1348" t="str">
            <v>INVERSIONES JUDI</v>
          </cell>
        </row>
        <row r="1349">
          <cell r="A1349">
            <v>805023054</v>
          </cell>
          <cell r="B1349" t="str">
            <v>CO</v>
          </cell>
          <cell r="C1349" t="str">
            <v>HOTEL TURISTICO LA LUNA SA</v>
          </cell>
        </row>
        <row r="1350">
          <cell r="A1350">
            <v>805027231</v>
          </cell>
          <cell r="B1350" t="str">
            <v>CO</v>
          </cell>
          <cell r="C1350" t="str">
            <v>GRUPO FACTORING DE OCCIDENTE S.A.</v>
          </cell>
        </row>
        <row r="1351">
          <cell r="A1351">
            <v>806014553</v>
          </cell>
          <cell r="B1351" t="str">
            <v>CO</v>
          </cell>
          <cell r="C1351" t="str">
            <v>TUVACOL S.A. TUBERIAS Y VALVULAS</v>
          </cell>
        </row>
        <row r="1352">
          <cell r="A1352">
            <v>806014886</v>
          </cell>
          <cell r="B1352" t="str">
            <v>CO</v>
          </cell>
          <cell r="C1352" t="str">
            <v>CONSTRUCCIONES ELECTRICAS</v>
          </cell>
        </row>
        <row r="1353">
          <cell r="A1353">
            <v>809002625</v>
          </cell>
          <cell r="B1353" t="str">
            <v>CO</v>
          </cell>
          <cell r="C1353" t="str">
            <v>INTERNACIONAL DE ELECTRICOS LTDA</v>
          </cell>
        </row>
        <row r="1354">
          <cell r="A1354">
            <v>811001689</v>
          </cell>
          <cell r="B1354" t="str">
            <v>CO</v>
          </cell>
          <cell r="C1354" t="str">
            <v>CORPORACION CENTRO DE INVESTIGACION</v>
          </cell>
        </row>
        <row r="1355">
          <cell r="A1355">
            <v>811007729</v>
          </cell>
          <cell r="B1355" t="str">
            <v>CO</v>
          </cell>
          <cell r="C1355" t="str">
            <v>DANN REGIONAL COMPAÑIA</v>
          </cell>
        </row>
        <row r="1356">
          <cell r="A1356">
            <v>811009788</v>
          </cell>
          <cell r="B1356" t="str">
            <v>CO</v>
          </cell>
          <cell r="C1356" t="str">
            <v>DISTRACOM SA</v>
          </cell>
        </row>
        <row r="1357">
          <cell r="A1357">
            <v>811011715</v>
          </cell>
          <cell r="B1357" t="str">
            <v>CO</v>
          </cell>
          <cell r="C1357" t="str">
            <v>INDEQUIPOS SAS</v>
          </cell>
        </row>
        <row r="1358">
          <cell r="A1358">
            <v>811016969</v>
          </cell>
          <cell r="B1358" t="str">
            <v>CO</v>
          </cell>
          <cell r="C1358" t="str">
            <v>HOTEL TORRE POBLADO SA</v>
          </cell>
        </row>
        <row r="1359">
          <cell r="A1359">
            <v>811026845</v>
          </cell>
          <cell r="B1359" t="str">
            <v>CO</v>
          </cell>
          <cell r="C1359" t="str">
            <v>GLODEX SAS</v>
          </cell>
        </row>
        <row r="1360">
          <cell r="A1360">
            <v>811034604</v>
          </cell>
          <cell r="B1360" t="str">
            <v>CO</v>
          </cell>
          <cell r="C1360" t="str">
            <v>COMPUTER Y ELECTRONIC CENTER EU</v>
          </cell>
        </row>
        <row r="1361">
          <cell r="A1361">
            <v>811039929</v>
          </cell>
          <cell r="B1361" t="str">
            <v>CO</v>
          </cell>
          <cell r="C1361" t="str">
            <v>INDUSTRAL SOLUTIONS COLOMBIA S.A.</v>
          </cell>
        </row>
        <row r="1362">
          <cell r="A1362">
            <v>812002335</v>
          </cell>
          <cell r="B1362" t="str">
            <v>CO</v>
          </cell>
          <cell r="C1362" t="str">
            <v>RENACIMIENTO LTDA</v>
          </cell>
        </row>
        <row r="1363">
          <cell r="A1363">
            <v>812005785</v>
          </cell>
          <cell r="B1363" t="str">
            <v>CO</v>
          </cell>
          <cell r="C1363" t="str">
            <v>ANDES BEEF</v>
          </cell>
        </row>
        <row r="1364">
          <cell r="A1364">
            <v>816006815</v>
          </cell>
          <cell r="B1364" t="str">
            <v>CO</v>
          </cell>
          <cell r="C1364" t="str">
            <v>BAÑO EXPRESS SAS SERVICIOS</v>
          </cell>
        </row>
        <row r="1365">
          <cell r="A1365">
            <v>820001405</v>
          </cell>
          <cell r="B1365" t="str">
            <v>CO</v>
          </cell>
          <cell r="C1365" t="str">
            <v>EMPRESAS PUBLICAS DE PUERTO BOYACA</v>
          </cell>
        </row>
        <row r="1366">
          <cell r="A1366">
            <v>822000851</v>
          </cell>
          <cell r="B1366" t="str">
            <v>CO</v>
          </cell>
          <cell r="C1366" t="str">
            <v>DIHEGO LTDA</v>
          </cell>
        </row>
        <row r="1367">
          <cell r="A1367">
            <v>822001920</v>
          </cell>
          <cell r="B1367" t="str">
            <v>CO</v>
          </cell>
          <cell r="C1367" t="str">
            <v>CHEVROPARTES DEL LLANO LTDA</v>
          </cell>
        </row>
        <row r="1368">
          <cell r="A1368">
            <v>822003039</v>
          </cell>
          <cell r="B1368" t="str">
            <v>CO</v>
          </cell>
          <cell r="C1368" t="str">
            <v>SERVIACOPLES Y MANGUERAS</v>
          </cell>
        </row>
        <row r="1369">
          <cell r="A1369">
            <v>822006781</v>
          </cell>
          <cell r="B1369" t="str">
            <v>CO</v>
          </cell>
          <cell r="C1369" t="str">
            <v>MAXILLANTAS LTDA</v>
          </cell>
        </row>
        <row r="1370">
          <cell r="A1370">
            <v>825000262</v>
          </cell>
          <cell r="B1370" t="str">
            <v>CO</v>
          </cell>
          <cell r="C1370" t="str">
            <v>HOTEL MAJAYURA</v>
          </cell>
        </row>
        <row r="1371">
          <cell r="A1371">
            <v>829000079</v>
          </cell>
          <cell r="B1371" t="str">
            <v>CO</v>
          </cell>
          <cell r="C1371" t="str">
            <v>SERVIYARIMA SAS</v>
          </cell>
        </row>
        <row r="1372">
          <cell r="A1372">
            <v>829000329</v>
          </cell>
          <cell r="B1372" t="str">
            <v>CO</v>
          </cell>
          <cell r="C1372" t="str">
            <v>TRANSPORTADORA SAN PABLO LTDA</v>
          </cell>
        </row>
        <row r="1373">
          <cell r="A1373">
            <v>829000547</v>
          </cell>
          <cell r="B1373" t="str">
            <v>CO</v>
          </cell>
          <cell r="C1373" t="str">
            <v>ALL SERVICE LTDA</v>
          </cell>
        </row>
        <row r="1374">
          <cell r="A1374">
            <v>829001351</v>
          </cell>
          <cell r="B1374" t="str">
            <v>CO</v>
          </cell>
          <cell r="C1374" t="str">
            <v>ESTACION DE SERVICIO EL TREBOL EU</v>
          </cell>
        </row>
        <row r="1375">
          <cell r="A1375">
            <v>829001554</v>
          </cell>
          <cell r="B1375" t="str">
            <v>CO</v>
          </cell>
          <cell r="C1375" t="str">
            <v>ESTACION DE SERVICIOS SAN</v>
          </cell>
        </row>
        <row r="1376">
          <cell r="A1376">
            <v>829001698</v>
          </cell>
          <cell r="B1376" t="str">
            <v>CO</v>
          </cell>
          <cell r="C1376" t="str">
            <v>SNEIDER E.U.</v>
          </cell>
        </row>
        <row r="1377">
          <cell r="A1377">
            <v>829001846</v>
          </cell>
          <cell r="B1377" t="str">
            <v>CO</v>
          </cell>
          <cell r="C1377" t="str">
            <v>EMPRESA SOCIAL DEL ESTADO</v>
          </cell>
        </row>
        <row r="1378">
          <cell r="A1378">
            <v>829002168</v>
          </cell>
          <cell r="B1378" t="str">
            <v>CO</v>
          </cell>
          <cell r="C1378" t="str">
            <v>FERRETERIA TODOACEROS</v>
          </cell>
        </row>
        <row r="1379">
          <cell r="A1379">
            <v>829002323</v>
          </cell>
          <cell r="B1379" t="str">
            <v>CO</v>
          </cell>
          <cell r="C1379" t="str">
            <v>SERVITECNICOS LTDA</v>
          </cell>
        </row>
        <row r="1380">
          <cell r="A1380">
            <v>829002331</v>
          </cell>
          <cell r="B1380" t="str">
            <v>CO</v>
          </cell>
          <cell r="C1380" t="str">
            <v>INGENIERIA Y SUMINISTROS BROCA LTDA</v>
          </cell>
        </row>
        <row r="1381">
          <cell r="A1381">
            <v>829002513</v>
          </cell>
          <cell r="B1381" t="str">
            <v>CO</v>
          </cell>
          <cell r="C1381" t="str">
            <v>UNIDAD MOVIL DE ATENCION MEDICA</v>
          </cell>
        </row>
        <row r="1382">
          <cell r="A1382">
            <v>829002707</v>
          </cell>
          <cell r="B1382" t="str">
            <v>CO</v>
          </cell>
          <cell r="C1382" t="str">
            <v>DAVID WILCHES LTDA</v>
          </cell>
        </row>
        <row r="1383">
          <cell r="A1383">
            <v>829002947</v>
          </cell>
          <cell r="B1383" t="str">
            <v>CO</v>
          </cell>
          <cell r="C1383" t="str">
            <v>CORPACENTRO ACUEDUCTO</v>
          </cell>
        </row>
        <row r="1384">
          <cell r="A1384">
            <v>830001350</v>
          </cell>
          <cell r="B1384" t="str">
            <v>CO</v>
          </cell>
          <cell r="C1384" t="str">
            <v>TECNICA DE CONEXIONES SAS</v>
          </cell>
        </row>
        <row r="1385">
          <cell r="A1385">
            <v>830001739</v>
          </cell>
          <cell r="B1385" t="str">
            <v>CO</v>
          </cell>
          <cell r="C1385" t="str">
            <v>PEAJE PATIOS</v>
          </cell>
        </row>
        <row r="1386">
          <cell r="A1386">
            <v>830002623</v>
          </cell>
          <cell r="B1386" t="str">
            <v>CO</v>
          </cell>
          <cell r="C1386" t="str">
            <v>UNION TEMPORAL DEVINORTE</v>
          </cell>
        </row>
        <row r="1387">
          <cell r="A1387">
            <v>830002964</v>
          </cell>
          <cell r="B1387" t="str">
            <v>CO</v>
          </cell>
          <cell r="C1387" t="str">
            <v>ESTACION TERPEL LA CALERA</v>
          </cell>
        </row>
        <row r="1388">
          <cell r="A1388">
            <v>830003564</v>
          </cell>
          <cell r="B1388" t="str">
            <v>CO</v>
          </cell>
          <cell r="C1388" t="str">
            <v>FAMISANAR</v>
          </cell>
        </row>
        <row r="1389">
          <cell r="A1389">
            <v>830005424</v>
          </cell>
          <cell r="B1389" t="str">
            <v>CO</v>
          </cell>
          <cell r="C1389" t="str">
            <v>GRUPO INDUSTRIAL METALMECANICO LTDA</v>
          </cell>
        </row>
        <row r="1390">
          <cell r="A1390">
            <v>830006021</v>
          </cell>
          <cell r="B1390" t="str">
            <v>CO</v>
          </cell>
          <cell r="C1390" t="str">
            <v>CONCESIONES CCFC SA</v>
          </cell>
        </row>
        <row r="1391">
          <cell r="A1391">
            <v>830007064</v>
          </cell>
          <cell r="B1391" t="str">
            <v>CO</v>
          </cell>
          <cell r="C1391" t="str">
            <v>DELTA AIR LINES INC SUCURSAL</v>
          </cell>
        </row>
        <row r="1392">
          <cell r="A1392">
            <v>830007531</v>
          </cell>
          <cell r="B1392" t="str">
            <v>CO</v>
          </cell>
          <cell r="C1392" t="str">
            <v>REME INTERNACIONAL SAS</v>
          </cell>
        </row>
        <row r="1393">
          <cell r="A1393">
            <v>830009783</v>
          </cell>
          <cell r="B1393" t="str">
            <v>CO</v>
          </cell>
          <cell r="C1393" t="str">
            <v>CRUZ BLANCA EPS SA</v>
          </cell>
        </row>
        <row r="1394">
          <cell r="A1394">
            <v>830009817</v>
          </cell>
          <cell r="B1394" t="str">
            <v>CO</v>
          </cell>
          <cell r="C1394" t="str">
            <v>TRANSPORTES GLAMAR LTDA</v>
          </cell>
        </row>
        <row r="1395">
          <cell r="A1395">
            <v>830011670</v>
          </cell>
          <cell r="B1395" t="str">
            <v>CO</v>
          </cell>
          <cell r="C1395" t="str">
            <v>COPSERVIR</v>
          </cell>
        </row>
        <row r="1396">
          <cell r="A1396">
            <v>830011990</v>
          </cell>
          <cell r="B1396" t="str">
            <v>CO</v>
          </cell>
          <cell r="C1396" t="str">
            <v>SIGMA ELECTRONICA LTDA</v>
          </cell>
        </row>
        <row r="1397">
          <cell r="A1397">
            <v>830012169</v>
          </cell>
          <cell r="B1397" t="str">
            <v>CO</v>
          </cell>
          <cell r="C1397" t="str">
            <v>CIA HOTELERA ANDES PLAZA LIMITADA</v>
          </cell>
        </row>
        <row r="1398">
          <cell r="A1398">
            <v>830012435</v>
          </cell>
          <cell r="B1398" t="str">
            <v>CO</v>
          </cell>
          <cell r="C1398" t="str">
            <v>COLOMBIAN COMPUTER LTDA</v>
          </cell>
        </row>
        <row r="1399">
          <cell r="A1399">
            <v>830012833</v>
          </cell>
          <cell r="B1399" t="str">
            <v>CO</v>
          </cell>
          <cell r="C1399" t="str">
            <v>PROYECTOS INTEGRALES SAS</v>
          </cell>
        </row>
        <row r="1400">
          <cell r="A1400">
            <v>830012849</v>
          </cell>
          <cell r="B1400" t="str">
            <v>CO</v>
          </cell>
          <cell r="C1400" t="str">
            <v>ESTACION DE SERVICIO CORDOBA</v>
          </cell>
        </row>
        <row r="1401">
          <cell r="A1401">
            <v>830015274</v>
          </cell>
          <cell r="B1401" t="str">
            <v>CO</v>
          </cell>
          <cell r="C1401" t="str">
            <v>ECO PROYECTOS AIRE SAS</v>
          </cell>
        </row>
        <row r="1402">
          <cell r="A1402">
            <v>830015410</v>
          </cell>
          <cell r="B1402" t="str">
            <v>CO</v>
          </cell>
          <cell r="C1402" t="str">
            <v>COMPADICOM SAS</v>
          </cell>
        </row>
        <row r="1403">
          <cell r="A1403">
            <v>830015914</v>
          </cell>
          <cell r="B1403" t="str">
            <v>CO</v>
          </cell>
          <cell r="C1403" t="str">
            <v>POLYUPROTEC SA</v>
          </cell>
        </row>
        <row r="1404">
          <cell r="A1404">
            <v>830016046</v>
          </cell>
          <cell r="B1404" t="str">
            <v>CO</v>
          </cell>
          <cell r="C1404" t="str">
            <v>AVANTEL S A S</v>
          </cell>
        </row>
        <row r="1405">
          <cell r="A1405">
            <v>830017271</v>
          </cell>
          <cell r="B1405" t="str">
            <v>CO</v>
          </cell>
          <cell r="C1405" t="str">
            <v>FEDEX FEDERAL EXPRESS CORPORATION</v>
          </cell>
        </row>
        <row r="1406">
          <cell r="A1406">
            <v>830018146</v>
          </cell>
          <cell r="B1406" t="str">
            <v>CO</v>
          </cell>
          <cell r="C1406" t="str">
            <v>ROCKWELL COLOMBIA S.A.</v>
          </cell>
        </row>
        <row r="1407">
          <cell r="A1407">
            <v>830019189</v>
          </cell>
          <cell r="B1407" t="str">
            <v>CO</v>
          </cell>
          <cell r="C1407" t="str">
            <v>LAN ARILINES</v>
          </cell>
        </row>
        <row r="1408">
          <cell r="A1408">
            <v>830019769</v>
          </cell>
          <cell r="B1408" t="str">
            <v>CO</v>
          </cell>
          <cell r="C1408" t="str">
            <v>ARCHIES DE COLOMBIA S.A.</v>
          </cell>
        </row>
        <row r="1409">
          <cell r="A1409">
            <v>830020641</v>
          </cell>
          <cell r="B1409" t="str">
            <v>CO</v>
          </cell>
          <cell r="C1409" t="str">
            <v>LINAS SANDWICHE CAFE</v>
          </cell>
        </row>
        <row r="1410">
          <cell r="A1410">
            <v>830023719</v>
          </cell>
          <cell r="B1410" t="str">
            <v>CO</v>
          </cell>
          <cell r="C1410" t="str">
            <v>OML INGENIERIA LTDA</v>
          </cell>
        </row>
        <row r="1411">
          <cell r="A1411">
            <v>830023934</v>
          </cell>
          <cell r="B1411" t="str">
            <v>CO</v>
          </cell>
          <cell r="C1411" t="str">
            <v>EDIFICIO TELEPORT PH</v>
          </cell>
        </row>
        <row r="1412">
          <cell r="A1412">
            <v>830023946</v>
          </cell>
          <cell r="B1412" t="str">
            <v>CO</v>
          </cell>
          <cell r="C1412" t="str">
            <v>ALIMENTOS SPRESS LTDA</v>
          </cell>
        </row>
        <row r="1413">
          <cell r="A1413">
            <v>830024809</v>
          </cell>
          <cell r="B1413" t="str">
            <v>CO</v>
          </cell>
          <cell r="C1413" t="str">
            <v>CIRCULANTE SA</v>
          </cell>
        </row>
        <row r="1414">
          <cell r="A1414">
            <v>830025172</v>
          </cell>
          <cell r="B1414" t="str">
            <v>CO</v>
          </cell>
          <cell r="C1414" t="str">
            <v>INTERCOMERCIAL ANDINA LIMITADA</v>
          </cell>
        </row>
        <row r="1415">
          <cell r="A1415">
            <v>830025638</v>
          </cell>
          <cell r="B1415" t="str">
            <v>CO</v>
          </cell>
          <cell r="C1415" t="str">
            <v>GRANDES SUPERFICIES DE COLOMBIA S.A</v>
          </cell>
        </row>
        <row r="1416">
          <cell r="A1416">
            <v>830025968</v>
          </cell>
          <cell r="B1416" t="str">
            <v>CO</v>
          </cell>
          <cell r="C1416" t="str">
            <v>AUTOMATIZACION AVANZADA SA</v>
          </cell>
        </row>
        <row r="1417">
          <cell r="A1417">
            <v>830029102</v>
          </cell>
          <cell r="B1417" t="str">
            <v>CO</v>
          </cell>
          <cell r="C1417" t="str">
            <v>SALUD OCUPACIONAL DE LOS ANDES LTDA</v>
          </cell>
        </row>
        <row r="1418">
          <cell r="A1418">
            <v>830030206</v>
          </cell>
          <cell r="B1418" t="str">
            <v>CO</v>
          </cell>
          <cell r="C1418" t="str">
            <v>COMERCIALIZADORA EM LTDA</v>
          </cell>
        </row>
        <row r="1419">
          <cell r="A1419">
            <v>830035246</v>
          </cell>
          <cell r="B1419" t="str">
            <v>CO</v>
          </cell>
          <cell r="C1419" t="str">
            <v>DELL COLOMBIA INC.</v>
          </cell>
        </row>
        <row r="1420">
          <cell r="A1420">
            <v>830037248</v>
          </cell>
          <cell r="B1420" t="str">
            <v>CO</v>
          </cell>
          <cell r="C1420" t="str">
            <v>CODENSA S.A. ESP</v>
          </cell>
        </row>
        <row r="1421">
          <cell r="A1421">
            <v>830037946</v>
          </cell>
          <cell r="B1421" t="str">
            <v>CO</v>
          </cell>
          <cell r="C1421" t="str">
            <v>PANAMERICANA SA</v>
          </cell>
        </row>
        <row r="1422">
          <cell r="A1422">
            <v>830038805</v>
          </cell>
          <cell r="B1422" t="str">
            <v>CO</v>
          </cell>
          <cell r="C1422" t="str">
            <v>REPRESENTACIONES OIL FILTER´S SA</v>
          </cell>
        </row>
        <row r="1423">
          <cell r="A1423">
            <v>830038902</v>
          </cell>
          <cell r="B1423" t="str">
            <v>CO</v>
          </cell>
          <cell r="C1423" t="str">
            <v>COLSUB S.A</v>
          </cell>
        </row>
        <row r="1424">
          <cell r="A1424">
            <v>830039244</v>
          </cell>
          <cell r="B1424" t="str">
            <v>CO</v>
          </cell>
          <cell r="C1424" t="str">
            <v>UNION TEMPORAL SETT SERVICIOS</v>
          </cell>
        </row>
        <row r="1425">
          <cell r="A1425">
            <v>830041061</v>
          </cell>
          <cell r="B1425" t="str">
            <v>CO</v>
          </cell>
          <cell r="C1425" t="str">
            <v>COLOMBIANA DE INGENIERIA Y</v>
          </cell>
        </row>
        <row r="1426">
          <cell r="A1426">
            <v>830041207</v>
          </cell>
          <cell r="B1426" t="str">
            <v>CO</v>
          </cell>
          <cell r="C1426" t="str">
            <v>EMPSA LTD SAS</v>
          </cell>
        </row>
        <row r="1427">
          <cell r="A1427">
            <v>830042176</v>
          </cell>
          <cell r="B1427" t="str">
            <v>CO</v>
          </cell>
          <cell r="C1427" t="str">
            <v>ESTACION DE SERVICIOS MONDOÑEDO</v>
          </cell>
        </row>
        <row r="1428">
          <cell r="A1428">
            <v>830044171</v>
          </cell>
          <cell r="B1428" t="str">
            <v>CO</v>
          </cell>
          <cell r="C1428" t="str">
            <v>CONFECCIONES EL OVEROL LTDA</v>
          </cell>
        </row>
        <row r="1429">
          <cell r="A1429">
            <v>830045685</v>
          </cell>
          <cell r="B1429" t="str">
            <v>CO</v>
          </cell>
          <cell r="C1429" t="str">
            <v>CIBER BLINIS LTDA</v>
          </cell>
        </row>
        <row r="1430">
          <cell r="A1430">
            <v>830046254</v>
          </cell>
          <cell r="B1430" t="str">
            <v>CO</v>
          </cell>
          <cell r="C1430" t="str">
            <v>ESTACION DE SERVICIO SAGAS</v>
          </cell>
        </row>
        <row r="1431">
          <cell r="A1431">
            <v>830047411</v>
          </cell>
          <cell r="B1431" t="str">
            <v>CO</v>
          </cell>
          <cell r="C1431" t="str">
            <v>CAFE RENAULT - KATA LTDA.</v>
          </cell>
        </row>
        <row r="1432">
          <cell r="A1432">
            <v>830047479</v>
          </cell>
          <cell r="B1432" t="str">
            <v>CO</v>
          </cell>
          <cell r="C1432" t="str">
            <v>REPRESENTACIONES CONSTRUCTIVAS</v>
          </cell>
        </row>
        <row r="1433">
          <cell r="A1433">
            <v>830047537</v>
          </cell>
          <cell r="B1433" t="str">
            <v>CO</v>
          </cell>
          <cell r="C1433" t="str">
            <v>LAO KAO SA</v>
          </cell>
        </row>
        <row r="1434">
          <cell r="A1434">
            <v>830047746</v>
          </cell>
          <cell r="B1434" t="str">
            <v>CO</v>
          </cell>
          <cell r="C1434" t="str">
            <v>CONJUNTO CN EMPRESARIAL</v>
          </cell>
        </row>
        <row r="1435">
          <cell r="A1435">
            <v>830048145</v>
          </cell>
          <cell r="B1435" t="str">
            <v>CO</v>
          </cell>
          <cell r="C1435" t="str">
            <v>SIIGO S.A.</v>
          </cell>
        </row>
        <row r="1436">
          <cell r="A1436">
            <v>830049326</v>
          </cell>
          <cell r="B1436" t="str">
            <v>CO</v>
          </cell>
          <cell r="C1436" t="str">
            <v>AC MOTORS LTDA</v>
          </cell>
        </row>
        <row r="1437">
          <cell r="A1437">
            <v>830049630</v>
          </cell>
          <cell r="B1437" t="str">
            <v>CO</v>
          </cell>
          <cell r="C1437" t="str">
            <v>PRODUCTOS Y SUMINISTROS LTDA</v>
          </cell>
        </row>
        <row r="1438">
          <cell r="A1438">
            <v>830050228</v>
          </cell>
          <cell r="B1438" t="str">
            <v>CO</v>
          </cell>
          <cell r="C1438" t="str">
            <v>ADECCO SERVICIOS COLOMBIA S.A.</v>
          </cell>
        </row>
        <row r="1439">
          <cell r="A1439">
            <v>830050237</v>
          </cell>
          <cell r="B1439" t="str">
            <v>CO</v>
          </cell>
          <cell r="C1439" t="str">
            <v>SALSERIN COMPUTER LTDA</v>
          </cell>
        </row>
        <row r="1440">
          <cell r="A1440">
            <v>830050604</v>
          </cell>
          <cell r="B1440" t="str">
            <v>CO</v>
          </cell>
          <cell r="C1440" t="str">
            <v>NTS NATIONAL TRUCK SERVICE S A S</v>
          </cell>
        </row>
        <row r="1441">
          <cell r="A1441">
            <v>830050619</v>
          </cell>
          <cell r="B1441" t="str">
            <v>CO</v>
          </cell>
          <cell r="C1441" t="str">
            <v>CITY PARKING S.A</v>
          </cell>
        </row>
        <row r="1442">
          <cell r="A1442">
            <v>830051180</v>
          </cell>
          <cell r="B1442" t="str">
            <v>CO</v>
          </cell>
          <cell r="C1442" t="str">
            <v>ESTACION EL PINO 73 LTDA</v>
          </cell>
        </row>
        <row r="1443">
          <cell r="A1443">
            <v>830052998</v>
          </cell>
          <cell r="B1443" t="str">
            <v>CO</v>
          </cell>
          <cell r="C1443" t="str">
            <v>FIDEICOMISOS BBVA ASSET MANAGEMENT</v>
          </cell>
        </row>
        <row r="1444">
          <cell r="A1444">
            <v>830053412</v>
          </cell>
          <cell r="B1444" t="str">
            <v>CO</v>
          </cell>
          <cell r="C1444" t="str">
            <v>E S INSTRUMENTACION S A S</v>
          </cell>
        </row>
        <row r="1445">
          <cell r="A1445">
            <v>830053564</v>
          </cell>
          <cell r="B1445" t="str">
            <v>CO</v>
          </cell>
          <cell r="C1445" t="str">
            <v>MANUFACTURAS GONZO SA</v>
          </cell>
        </row>
        <row r="1446">
          <cell r="A1446">
            <v>830053800</v>
          </cell>
          <cell r="B1446" t="str">
            <v>CO</v>
          </cell>
          <cell r="C1446" t="str">
            <v>TELMEX HOGAR S.A</v>
          </cell>
        </row>
        <row r="1447">
          <cell r="A1447">
            <v>830053842</v>
          </cell>
          <cell r="B1447" t="str">
            <v>CO</v>
          </cell>
          <cell r="C1447" t="str">
            <v>FIDUCIARIA GNB - FIDEICOMISOS</v>
          </cell>
        </row>
        <row r="1448">
          <cell r="A1448">
            <v>830054076</v>
          </cell>
          <cell r="B1448" t="str">
            <v>CO</v>
          </cell>
          <cell r="C1448" t="str">
            <v>FIDEICOMISOS SOCIEDAD FIDUCIARIA</v>
          </cell>
        </row>
        <row r="1449">
          <cell r="A1449">
            <v>830054904</v>
          </cell>
          <cell r="B1449" t="str">
            <v>CO</v>
          </cell>
          <cell r="C1449" t="str">
            <v>ARP MAPFRE COLOMBIA VIDA SEGUROS SA</v>
          </cell>
        </row>
        <row r="1450">
          <cell r="A1450">
            <v>830055049</v>
          </cell>
          <cell r="B1450" t="str">
            <v>CO</v>
          </cell>
          <cell r="C1450" t="str">
            <v>BVQI COLOMBIA LTDA</v>
          </cell>
        </row>
        <row r="1451">
          <cell r="A1451">
            <v>830055063</v>
          </cell>
          <cell r="B1451" t="str">
            <v>CO</v>
          </cell>
          <cell r="C1451" t="str">
            <v>INDUSTRIAL DE RUEDAS</v>
          </cell>
        </row>
        <row r="1452">
          <cell r="A1452">
            <v>830055177</v>
          </cell>
          <cell r="B1452" t="str">
            <v>CO</v>
          </cell>
          <cell r="C1452" t="str">
            <v>P R V ASOCIADOS LTDA</v>
          </cell>
        </row>
        <row r="1453">
          <cell r="A1453">
            <v>830055791</v>
          </cell>
          <cell r="B1453" t="str">
            <v>CO</v>
          </cell>
          <cell r="C1453" t="str">
            <v>GETRONICS</v>
          </cell>
        </row>
        <row r="1454">
          <cell r="A1454">
            <v>830057186</v>
          </cell>
          <cell r="B1454" t="str">
            <v>CO</v>
          </cell>
          <cell r="C1454" t="str">
            <v>MUNDIAL DE TORNILLOS SA</v>
          </cell>
        </row>
        <row r="1455">
          <cell r="A1455">
            <v>830058272</v>
          </cell>
          <cell r="B1455" t="str">
            <v>CO</v>
          </cell>
          <cell r="C1455" t="str">
            <v>CAM COLOMBIA MULTISERVICIOS SAS</v>
          </cell>
        </row>
        <row r="1456">
          <cell r="A1456">
            <v>830058305</v>
          </cell>
          <cell r="B1456" t="str">
            <v>CO</v>
          </cell>
          <cell r="C1456" t="str">
            <v>CENTRO COMERCIAL BIMA PH</v>
          </cell>
        </row>
        <row r="1457">
          <cell r="A1457">
            <v>830059754</v>
          </cell>
          <cell r="B1457" t="str">
            <v>CO</v>
          </cell>
          <cell r="C1457" t="str">
            <v>NACIONAL DE TRANSFORMADORES S A</v>
          </cell>
        </row>
        <row r="1458">
          <cell r="A1458">
            <v>830060549</v>
          </cell>
          <cell r="B1458" t="str">
            <v>CO</v>
          </cell>
          <cell r="C1458" t="str">
            <v>ALDICOM OPERADORES LTDA</v>
          </cell>
        </row>
        <row r="1459">
          <cell r="A1459">
            <v>830060901</v>
          </cell>
          <cell r="B1459" t="str">
            <v>CO</v>
          </cell>
          <cell r="C1459" t="str">
            <v>FERRETERIA L N Y CIA S A S</v>
          </cell>
        </row>
        <row r="1460">
          <cell r="A1460">
            <v>830061125</v>
          </cell>
          <cell r="B1460" t="str">
            <v>CO</v>
          </cell>
          <cell r="C1460" t="str">
            <v>COMERCIALIZADORA DE BIENES Y</v>
          </cell>
        </row>
        <row r="1461">
          <cell r="A1461">
            <v>830062441</v>
          </cell>
          <cell r="B1461" t="str">
            <v>CO</v>
          </cell>
          <cell r="C1461" t="str">
            <v>ENVASAR SAS</v>
          </cell>
        </row>
        <row r="1462">
          <cell r="A1462">
            <v>830065157</v>
          </cell>
          <cell r="B1462" t="str">
            <v>CO</v>
          </cell>
          <cell r="C1462" t="str">
            <v>LEADERSEARCH SAS</v>
          </cell>
        </row>
        <row r="1463">
          <cell r="A1463">
            <v>830065925</v>
          </cell>
          <cell r="B1463" t="str">
            <v>CO</v>
          </cell>
          <cell r="C1463" t="str">
            <v>COMBUSTIBLES CAPITAL ESTACION</v>
          </cell>
        </row>
        <row r="1464">
          <cell r="A1464">
            <v>830067005</v>
          </cell>
          <cell r="B1464" t="str">
            <v>CO</v>
          </cell>
          <cell r="C1464" t="str">
            <v>MILENIO PC LTDA</v>
          </cell>
        </row>
        <row r="1465">
          <cell r="A1465">
            <v>830067329</v>
          </cell>
          <cell r="B1465" t="str">
            <v>CO</v>
          </cell>
          <cell r="C1465" t="str">
            <v>PAR SERVICIOS INTEGRALES S.A.</v>
          </cell>
        </row>
        <row r="1466">
          <cell r="A1466">
            <v>830068634</v>
          </cell>
          <cell r="B1466" t="str">
            <v>CO</v>
          </cell>
          <cell r="C1466" t="str">
            <v>INVERSIONES EN COMBUSTIBLES</v>
          </cell>
        </row>
        <row r="1467">
          <cell r="A1467">
            <v>830068854</v>
          </cell>
          <cell r="B1467" t="str">
            <v>CO</v>
          </cell>
          <cell r="C1467" t="str">
            <v>C &amp; CO ENERGY S.A.S</v>
          </cell>
        </row>
        <row r="1468">
          <cell r="A1468">
            <v>830072313</v>
          </cell>
          <cell r="B1468" t="str">
            <v>CO</v>
          </cell>
          <cell r="C1468" t="str">
            <v>INDUALPA LTD</v>
          </cell>
        </row>
        <row r="1469">
          <cell r="A1469">
            <v>830074362</v>
          </cell>
          <cell r="B1469" t="str">
            <v>CO</v>
          </cell>
          <cell r="C1469" t="str">
            <v>ALQUILERES Y SERVICIOS SA</v>
          </cell>
        </row>
        <row r="1470">
          <cell r="A1470">
            <v>830075513</v>
          </cell>
          <cell r="B1470" t="str">
            <v>CO</v>
          </cell>
          <cell r="C1470" t="str">
            <v>PROEMEBE SAS</v>
          </cell>
        </row>
        <row r="1471">
          <cell r="A1471">
            <v>830076736</v>
          </cell>
          <cell r="B1471" t="str">
            <v>CO</v>
          </cell>
          <cell r="C1471" t="str">
            <v>JV PARKING</v>
          </cell>
        </row>
        <row r="1472">
          <cell r="A1472">
            <v>830078099</v>
          </cell>
          <cell r="B1472" t="str">
            <v>CO</v>
          </cell>
          <cell r="C1472" t="str">
            <v>RAPIMERCAR LTDA</v>
          </cell>
        </row>
        <row r="1473">
          <cell r="A1473">
            <v>830079672</v>
          </cell>
          <cell r="B1473" t="str">
            <v>CO</v>
          </cell>
          <cell r="C1473" t="str">
            <v>CONSORCIO FISALUD</v>
          </cell>
        </row>
        <row r="1474">
          <cell r="A1474">
            <v>830079954</v>
          </cell>
          <cell r="B1474" t="str">
            <v>CO</v>
          </cell>
          <cell r="C1474" t="str">
            <v>EMPRESA ADMINISTRADORA</v>
          </cell>
        </row>
        <row r="1475">
          <cell r="A1475">
            <v>830080190</v>
          </cell>
          <cell r="B1475" t="str">
            <v>CO</v>
          </cell>
          <cell r="C1475" t="str">
            <v>IMPORTEC COMERCIAL LTDA</v>
          </cell>
        </row>
        <row r="1476">
          <cell r="A1476">
            <v>830083366</v>
          </cell>
          <cell r="B1476" t="str">
            <v>CO</v>
          </cell>
          <cell r="C1476" t="str">
            <v>NACIONAL DE PILAS CENTRAL SA</v>
          </cell>
        </row>
        <row r="1477">
          <cell r="A1477">
            <v>830083894</v>
          </cell>
          <cell r="B1477" t="str">
            <v>CO</v>
          </cell>
          <cell r="C1477" t="str">
            <v>STRATEGIC AVIATION PLANNING LTDA</v>
          </cell>
        </row>
        <row r="1478">
          <cell r="A1478">
            <v>830084208</v>
          </cell>
          <cell r="B1478" t="str">
            <v>CO</v>
          </cell>
          <cell r="C1478" t="str">
            <v>BAG SECURITY LTDA</v>
          </cell>
        </row>
        <row r="1479">
          <cell r="A1479">
            <v>830084433</v>
          </cell>
          <cell r="B1479" t="str">
            <v>CO</v>
          </cell>
          <cell r="C1479" t="str">
            <v>CERTICAMARA SA</v>
          </cell>
        </row>
        <row r="1480">
          <cell r="A1480">
            <v>830085008</v>
          </cell>
          <cell r="B1480" t="str">
            <v>CO</v>
          </cell>
          <cell r="C1480" t="str">
            <v>COMBUSTIBLES UNIGAS S A S</v>
          </cell>
        </row>
        <row r="1481">
          <cell r="A1481">
            <v>830086199</v>
          </cell>
          <cell r="B1481" t="str">
            <v>CO</v>
          </cell>
          <cell r="C1481" t="str">
            <v>INVERSIONES CARREÑO GUTIERREZ LTDA</v>
          </cell>
        </row>
        <row r="1482">
          <cell r="A1482">
            <v>830087099</v>
          </cell>
          <cell r="B1482" t="str">
            <v>CO</v>
          </cell>
          <cell r="C1482" t="str">
            <v>CENTRAL PARKING SYSTEM COL LTDA</v>
          </cell>
        </row>
        <row r="1483">
          <cell r="A1483">
            <v>830087603</v>
          </cell>
          <cell r="B1483" t="str">
            <v>CO</v>
          </cell>
          <cell r="C1483" t="str">
            <v>REFRIGERACION TODOFRIO SAS</v>
          </cell>
        </row>
        <row r="1484">
          <cell r="A1484">
            <v>830087848</v>
          </cell>
          <cell r="B1484" t="str">
            <v>CO</v>
          </cell>
          <cell r="C1484" t="str">
            <v>TUGO</v>
          </cell>
        </row>
        <row r="1485">
          <cell r="A1485">
            <v>830089642</v>
          </cell>
          <cell r="B1485" t="str">
            <v>CO</v>
          </cell>
          <cell r="C1485" t="str">
            <v>RENTA COMPUTO LTDA</v>
          </cell>
        </row>
        <row r="1486">
          <cell r="A1486">
            <v>830090125</v>
          </cell>
          <cell r="B1486" t="str">
            <v>CO</v>
          </cell>
          <cell r="C1486" t="str">
            <v>INTERCONSULTANT LTDA</v>
          </cell>
        </row>
        <row r="1487">
          <cell r="A1487">
            <v>830093218</v>
          </cell>
          <cell r="B1487" t="str">
            <v>CO</v>
          </cell>
          <cell r="C1487" t="str">
            <v>SOLTINCO LTDA</v>
          </cell>
        </row>
        <row r="1488">
          <cell r="A1488">
            <v>830093619</v>
          </cell>
          <cell r="B1488" t="str">
            <v>CO</v>
          </cell>
          <cell r="C1488" t="str">
            <v>GRUPO POLISH CAR LTDA</v>
          </cell>
        </row>
        <row r="1489">
          <cell r="A1489">
            <v>830094021</v>
          </cell>
          <cell r="B1489" t="str">
            <v>CO</v>
          </cell>
          <cell r="C1489" t="str">
            <v>R H T DIAGNOSTICO Y SOLUCIONES</v>
          </cell>
        </row>
        <row r="1490">
          <cell r="A1490">
            <v>830094751</v>
          </cell>
          <cell r="B1490" t="str">
            <v>CO</v>
          </cell>
          <cell r="C1490" t="str">
            <v>BOGOTA BEER COMPANY</v>
          </cell>
        </row>
        <row r="1491">
          <cell r="A1491">
            <v>830095213</v>
          </cell>
          <cell r="B1491" t="str">
            <v>CO</v>
          </cell>
          <cell r="C1491" t="str">
            <v>ESTACION DE SERVICIO ORGANIZACION</v>
          </cell>
        </row>
        <row r="1492">
          <cell r="A1492">
            <v>830097493</v>
          </cell>
          <cell r="B1492" t="str">
            <v>CO</v>
          </cell>
          <cell r="C1492" t="str">
            <v>RODRIGUEZ AZUERO ABOGADOS</v>
          </cell>
        </row>
        <row r="1493">
          <cell r="A1493">
            <v>830098940</v>
          </cell>
          <cell r="B1493" t="str">
            <v>CO</v>
          </cell>
          <cell r="C1493" t="str">
            <v>PRODUCTOS TRAZZO LTDA</v>
          </cell>
        </row>
        <row r="1494">
          <cell r="A1494">
            <v>830099418</v>
          </cell>
          <cell r="B1494" t="str">
            <v>CO</v>
          </cell>
          <cell r="C1494" t="str">
            <v>CL INGENIERIA COMERCIAL SAS</v>
          </cell>
        </row>
        <row r="1495">
          <cell r="A1495">
            <v>830099752</v>
          </cell>
          <cell r="B1495" t="str">
            <v>CO</v>
          </cell>
          <cell r="C1495" t="str">
            <v>CMA CONOCIMIENTO SAS</v>
          </cell>
        </row>
        <row r="1496">
          <cell r="A1496">
            <v>830100716</v>
          </cell>
          <cell r="B1496" t="str">
            <v>CO</v>
          </cell>
          <cell r="C1496" t="str">
            <v>EQUIPOS Y MEDICIONES TECNICAS</v>
          </cell>
        </row>
        <row r="1497">
          <cell r="A1497">
            <v>830101778</v>
          </cell>
          <cell r="B1497" t="str">
            <v>CO</v>
          </cell>
          <cell r="C1497" t="str">
            <v>FRAYCO SA</v>
          </cell>
        </row>
        <row r="1498">
          <cell r="A1498">
            <v>830103442</v>
          </cell>
          <cell r="B1498" t="str">
            <v>CO</v>
          </cell>
          <cell r="C1498" t="str">
            <v>TECNI-GASEX S.A.S</v>
          </cell>
        </row>
        <row r="1499">
          <cell r="A1499">
            <v>830103515</v>
          </cell>
          <cell r="B1499" t="str">
            <v>CO</v>
          </cell>
          <cell r="C1499" t="str">
            <v>GRUPO CBC SA</v>
          </cell>
        </row>
        <row r="1500">
          <cell r="A1500">
            <v>830104442</v>
          </cell>
          <cell r="B1500" t="str">
            <v>CO</v>
          </cell>
          <cell r="C1500" t="str">
            <v>PARQUEADEROS M G P LTDA</v>
          </cell>
        </row>
        <row r="1501">
          <cell r="A1501">
            <v>830106465</v>
          </cell>
          <cell r="B1501" t="str">
            <v>CO</v>
          </cell>
          <cell r="C1501" t="str">
            <v>AIRE Y ENERGIA LTDA</v>
          </cell>
        </row>
        <row r="1502">
          <cell r="A1502">
            <v>830106672</v>
          </cell>
          <cell r="B1502" t="str">
            <v>CO</v>
          </cell>
          <cell r="C1502" t="str">
            <v>INDUSTRIA Y TECNOLOGIA SYMTEK SAS</v>
          </cell>
        </row>
        <row r="1503">
          <cell r="A1503">
            <v>830107075</v>
          </cell>
          <cell r="B1503" t="str">
            <v>CO</v>
          </cell>
          <cell r="C1503" t="str">
            <v>PARQUE CENTRAL SALITRE ETAPA II PH</v>
          </cell>
        </row>
        <row r="1504">
          <cell r="A1504">
            <v>830107193</v>
          </cell>
          <cell r="B1504" t="str">
            <v>CO</v>
          </cell>
          <cell r="C1504" t="str">
            <v>FERRETERIA DAMELCA SA</v>
          </cell>
        </row>
        <row r="1505">
          <cell r="A1505">
            <v>830107198</v>
          </cell>
          <cell r="B1505" t="str">
            <v>CO</v>
          </cell>
          <cell r="C1505" t="str">
            <v>ADTECO SAS</v>
          </cell>
        </row>
        <row r="1506">
          <cell r="A1506">
            <v>830108963</v>
          </cell>
          <cell r="B1506" t="str">
            <v>CO</v>
          </cell>
          <cell r="C1506" t="str">
            <v>FLAMINGO OIL SA</v>
          </cell>
        </row>
        <row r="1507">
          <cell r="A1507">
            <v>830109503</v>
          </cell>
          <cell r="B1507" t="str">
            <v>CO</v>
          </cell>
          <cell r="C1507" t="str">
            <v>INVERSIONES COMBITA SAS</v>
          </cell>
        </row>
        <row r="1508">
          <cell r="A1508">
            <v>830110433</v>
          </cell>
          <cell r="B1508" t="str">
            <v>CO</v>
          </cell>
          <cell r="C1508" t="str">
            <v>MQA BUSINESS CONSULTANS S.A.</v>
          </cell>
        </row>
        <row r="1509">
          <cell r="A1509">
            <v>830111047</v>
          </cell>
          <cell r="B1509" t="str">
            <v>CO</v>
          </cell>
          <cell r="C1509" t="str">
            <v>TERPEL PORTAL ALAMOS</v>
          </cell>
        </row>
        <row r="1510">
          <cell r="A1510">
            <v>830111048</v>
          </cell>
          <cell r="B1510" t="str">
            <v>CO</v>
          </cell>
          <cell r="C1510" t="str">
            <v>TRANSPORTES EN CAMABAJAS LTDA</v>
          </cell>
        </row>
        <row r="1511">
          <cell r="A1511">
            <v>830111257</v>
          </cell>
          <cell r="B1511" t="str">
            <v>CO</v>
          </cell>
          <cell r="C1511" t="str">
            <v>GRUPO EMPRESARIAL EN LINEA SA</v>
          </cell>
        </row>
        <row r="1512">
          <cell r="A1512">
            <v>830111469</v>
          </cell>
          <cell r="B1512" t="str">
            <v>CO</v>
          </cell>
          <cell r="C1512" t="str">
            <v>IT LTDA INTEGRAL TELECOMUNICATIONS</v>
          </cell>
        </row>
        <row r="1513">
          <cell r="A1513">
            <v>830111496</v>
          </cell>
          <cell r="B1513" t="str">
            <v>CO</v>
          </cell>
          <cell r="C1513" t="str">
            <v>PETROBRAS</v>
          </cell>
        </row>
        <row r="1514">
          <cell r="A1514">
            <v>830112317</v>
          </cell>
          <cell r="B1514" t="str">
            <v>CO</v>
          </cell>
          <cell r="C1514" t="str">
            <v>PROCAFECOLSA</v>
          </cell>
        </row>
        <row r="1515">
          <cell r="A1515">
            <v>830112376</v>
          </cell>
          <cell r="B1515" t="str">
            <v>CO</v>
          </cell>
          <cell r="C1515" t="str">
            <v>GALARDON LTDA</v>
          </cell>
        </row>
        <row r="1516">
          <cell r="A1516">
            <v>830113247</v>
          </cell>
          <cell r="B1516" t="str">
            <v>CO</v>
          </cell>
          <cell r="C1516" t="str">
            <v>PAN REGIO LTDA</v>
          </cell>
        </row>
        <row r="1517">
          <cell r="A1517">
            <v>830113476</v>
          </cell>
          <cell r="B1517" t="str">
            <v>CO</v>
          </cell>
          <cell r="C1517" t="str">
            <v>ORQUIDEA SAS</v>
          </cell>
        </row>
        <row r="1518">
          <cell r="A1518">
            <v>830113831</v>
          </cell>
          <cell r="B1518" t="str">
            <v>CO</v>
          </cell>
          <cell r="C1518" t="str">
            <v>ALIANSALUD EPS</v>
          </cell>
        </row>
        <row r="1519">
          <cell r="A1519">
            <v>830114448</v>
          </cell>
          <cell r="B1519" t="str">
            <v>CO</v>
          </cell>
          <cell r="C1519" t="str">
            <v>J V H FERRETERIA LTDA</v>
          </cell>
        </row>
        <row r="1520">
          <cell r="A1520">
            <v>830114857</v>
          </cell>
          <cell r="B1520" t="str">
            <v>CO</v>
          </cell>
          <cell r="C1520" t="str">
            <v>NOVARCO LTDA</v>
          </cell>
        </row>
        <row r="1521">
          <cell r="A1521">
            <v>830115239</v>
          </cell>
          <cell r="B1521" t="str">
            <v>CO</v>
          </cell>
          <cell r="C1521" t="str">
            <v>INVERSIONES EL CARNAL LTDA</v>
          </cell>
        </row>
        <row r="1522">
          <cell r="A1522">
            <v>830115345</v>
          </cell>
          <cell r="B1522" t="str">
            <v>CO</v>
          </cell>
          <cell r="C1522" t="str">
            <v>LASER DEPOT CI LTDA</v>
          </cell>
        </row>
        <row r="1523">
          <cell r="A1523">
            <v>830115439</v>
          </cell>
          <cell r="B1523" t="str">
            <v>CO</v>
          </cell>
          <cell r="C1523" t="str">
            <v>EDS LA SONORA</v>
          </cell>
        </row>
        <row r="1524">
          <cell r="A1524">
            <v>830115679</v>
          </cell>
          <cell r="B1524" t="str">
            <v>CO</v>
          </cell>
          <cell r="C1524" t="str">
            <v>MONZON S.A.</v>
          </cell>
        </row>
        <row r="1525">
          <cell r="A1525">
            <v>830116939</v>
          </cell>
          <cell r="B1525" t="str">
            <v>CO</v>
          </cell>
          <cell r="C1525" t="str">
            <v>INVERSIONES MATIZ</v>
          </cell>
        </row>
        <row r="1526">
          <cell r="A1526">
            <v>830117182</v>
          </cell>
          <cell r="B1526" t="str">
            <v>CO</v>
          </cell>
          <cell r="C1526" t="str">
            <v>BODEGAS &amp; OFICINAS MOVILES LTDA</v>
          </cell>
        </row>
        <row r="1527">
          <cell r="A1527">
            <v>830119051</v>
          </cell>
          <cell r="B1527" t="str">
            <v>CO</v>
          </cell>
          <cell r="C1527" t="str">
            <v>AXESAT SA</v>
          </cell>
        </row>
        <row r="1528">
          <cell r="A1528">
            <v>830120433</v>
          </cell>
          <cell r="B1528" t="str">
            <v>CO</v>
          </cell>
          <cell r="C1528" t="str">
            <v>VASQUEZ MORA ASOCIADOS LTDA</v>
          </cell>
        </row>
        <row r="1529">
          <cell r="A1529">
            <v>830120753</v>
          </cell>
          <cell r="B1529" t="str">
            <v>CO</v>
          </cell>
          <cell r="C1529" t="str">
            <v>CENTRO INTEGRAL DE ATENCION</v>
          </cell>
        </row>
        <row r="1530">
          <cell r="A1530">
            <v>830120846</v>
          </cell>
          <cell r="B1530" t="str">
            <v>CO</v>
          </cell>
          <cell r="C1530" t="str">
            <v>IDEAS ELECTRICAS LTDA</v>
          </cell>
        </row>
        <row r="1531">
          <cell r="A1531">
            <v>830122047</v>
          </cell>
          <cell r="B1531" t="str">
            <v>CO</v>
          </cell>
          <cell r="C1531" t="str">
            <v>INVERSIONES LA BASTILLA SAS</v>
          </cell>
        </row>
        <row r="1532">
          <cell r="A1532">
            <v>830122566</v>
          </cell>
          <cell r="B1532" t="str">
            <v>CO</v>
          </cell>
          <cell r="C1532" t="str">
            <v>COLOMBIA TELECOMUNICACIONES</v>
          </cell>
        </row>
        <row r="1533">
          <cell r="A1533">
            <v>830122607</v>
          </cell>
          <cell r="B1533" t="str">
            <v>CO</v>
          </cell>
          <cell r="C1533" t="str">
            <v>ESTACIONAMIENTOS ANGEL LTDA</v>
          </cell>
        </row>
        <row r="1534">
          <cell r="A1534">
            <v>830123946</v>
          </cell>
          <cell r="B1534" t="str">
            <v>CO</v>
          </cell>
          <cell r="C1534" t="str">
            <v>ICONO URBANO S.A.</v>
          </cell>
        </row>
        <row r="1535">
          <cell r="A1535">
            <v>830125050</v>
          </cell>
          <cell r="B1535" t="str">
            <v>CO</v>
          </cell>
          <cell r="C1535" t="str">
            <v>VIKON CONSULTING LTDA</v>
          </cell>
        </row>
        <row r="1536">
          <cell r="A1536">
            <v>830125983</v>
          </cell>
          <cell r="B1536" t="str">
            <v>CO</v>
          </cell>
          <cell r="C1536" t="str">
            <v>INDUSTRIAS FIBRATANK UST CA</v>
          </cell>
        </row>
        <row r="1537">
          <cell r="A1537">
            <v>830126302</v>
          </cell>
          <cell r="B1537" t="str">
            <v>CO</v>
          </cell>
          <cell r="C1537" t="str">
            <v>META PETROLEUM CORP</v>
          </cell>
        </row>
        <row r="1538">
          <cell r="A1538">
            <v>830127090</v>
          </cell>
          <cell r="B1538" t="str">
            <v>CO</v>
          </cell>
          <cell r="C1538" t="str">
            <v>VISION MAS SAS</v>
          </cell>
        </row>
        <row r="1539">
          <cell r="A1539">
            <v>830127095</v>
          </cell>
          <cell r="B1539" t="str">
            <v>CO</v>
          </cell>
          <cell r="C1539" t="str">
            <v>CAMARA COL DE INFRAESTRUCTURA</v>
          </cell>
        </row>
        <row r="1540">
          <cell r="A1540">
            <v>830127453</v>
          </cell>
          <cell r="B1540" t="str">
            <v>CO</v>
          </cell>
          <cell r="C1540" t="str">
            <v>COMERCIALIZADORA E IMPORTADORA</v>
          </cell>
        </row>
        <row r="1541">
          <cell r="A1541">
            <v>830128434</v>
          </cell>
          <cell r="B1541" t="str">
            <v>CO</v>
          </cell>
          <cell r="C1541" t="str">
            <v>WEG COLOMBIA LIMITADA</v>
          </cell>
        </row>
        <row r="1542">
          <cell r="A1542">
            <v>830129327</v>
          </cell>
          <cell r="B1542" t="str">
            <v>CO</v>
          </cell>
          <cell r="C1542" t="str">
            <v>FARMACITY</v>
          </cell>
        </row>
        <row r="1543">
          <cell r="A1543">
            <v>830129592</v>
          </cell>
          <cell r="B1543" t="str">
            <v>CO</v>
          </cell>
          <cell r="C1543" t="str">
            <v>DISTRIBUIDORA OFINORMA LTDA</v>
          </cell>
        </row>
        <row r="1544">
          <cell r="A1544">
            <v>830130106</v>
          </cell>
          <cell r="B1544" t="str">
            <v>CO</v>
          </cell>
          <cell r="C1544" t="str">
            <v>ENERGY INTERNACIONAL COLOMBIA LTDA.</v>
          </cell>
        </row>
        <row r="1545">
          <cell r="A1545">
            <v>830131993</v>
          </cell>
          <cell r="B1545" t="str">
            <v>CO</v>
          </cell>
          <cell r="C1545" t="str">
            <v>EFECTIVO LTDA</v>
          </cell>
        </row>
        <row r="1546">
          <cell r="A1546">
            <v>830133486</v>
          </cell>
          <cell r="B1546" t="str">
            <v>CO</v>
          </cell>
          <cell r="C1546" t="str">
            <v>CONSULTORIA Y ANALISIS TECNICOS SA</v>
          </cell>
        </row>
        <row r="1547">
          <cell r="A1547">
            <v>830135684</v>
          </cell>
          <cell r="B1547" t="str">
            <v>CO</v>
          </cell>
          <cell r="C1547" t="str">
            <v>DISTRIENVASES LTDA</v>
          </cell>
        </row>
        <row r="1548">
          <cell r="A1548">
            <v>830136907</v>
          </cell>
          <cell r="B1548" t="str">
            <v>CO</v>
          </cell>
          <cell r="C1548" t="str">
            <v>ESTACION DE SERVICIO</v>
          </cell>
        </row>
        <row r="1549">
          <cell r="A1549">
            <v>830137513</v>
          </cell>
          <cell r="B1549" t="str">
            <v>CO</v>
          </cell>
          <cell r="C1549" t="str">
            <v>AEXPRESS S A</v>
          </cell>
        </row>
        <row r="1550">
          <cell r="A1550">
            <v>830137913</v>
          </cell>
          <cell r="B1550" t="str">
            <v>CO</v>
          </cell>
          <cell r="C1550" t="str">
            <v>INGENIERIA SERVICIOS Y DESARROLLOS</v>
          </cell>
        </row>
        <row r="1551">
          <cell r="A1551">
            <v>830138476</v>
          </cell>
          <cell r="B1551" t="str">
            <v>CO</v>
          </cell>
          <cell r="C1551" t="str">
            <v>INVERSIONES F R A LTDA</v>
          </cell>
        </row>
        <row r="1552">
          <cell r="A1552">
            <v>830140108</v>
          </cell>
          <cell r="B1552" t="str">
            <v>CO</v>
          </cell>
          <cell r="C1552" t="str">
            <v>TELMEX TELECOMUNICACIONES SA ESP</v>
          </cell>
        </row>
        <row r="1553">
          <cell r="A1553">
            <v>830140380</v>
          </cell>
          <cell r="B1553" t="str">
            <v>CO</v>
          </cell>
          <cell r="C1553" t="str">
            <v>LOCATEL COLOMBIA SAS</v>
          </cell>
        </row>
        <row r="1554">
          <cell r="A1554">
            <v>830140690</v>
          </cell>
          <cell r="B1554" t="str">
            <v>CO</v>
          </cell>
          <cell r="C1554" t="str">
            <v>MONTITEC SAS</v>
          </cell>
        </row>
        <row r="1555">
          <cell r="A1555">
            <v>830141075</v>
          </cell>
          <cell r="B1555" t="str">
            <v>CO</v>
          </cell>
          <cell r="C1555" t="str">
            <v>AUDIO CAR SECURITY SAS</v>
          </cell>
        </row>
        <row r="1556">
          <cell r="A1556">
            <v>830143447</v>
          </cell>
          <cell r="B1556" t="str">
            <v>CO</v>
          </cell>
          <cell r="C1556" t="str">
            <v>CN COMERCIAL PORTAL DE LA 80</v>
          </cell>
        </row>
        <row r="1557">
          <cell r="A1557">
            <v>830144056</v>
          </cell>
          <cell r="B1557" t="str">
            <v>CO</v>
          </cell>
          <cell r="C1557" t="str">
            <v>HAMBURGUESERIAS SAS</v>
          </cell>
        </row>
        <row r="1558">
          <cell r="A1558">
            <v>830144557</v>
          </cell>
          <cell r="B1558" t="str">
            <v>CO</v>
          </cell>
          <cell r="C1558" t="str">
            <v>HARRYSA SAS</v>
          </cell>
        </row>
        <row r="1559">
          <cell r="A1559">
            <v>830145938</v>
          </cell>
          <cell r="B1559" t="str">
            <v>CO</v>
          </cell>
          <cell r="C1559" t="str">
            <v>INTERCONEXIONES SAS</v>
          </cell>
        </row>
        <row r="1560">
          <cell r="A1560">
            <v>830146408</v>
          </cell>
          <cell r="B1560" t="str">
            <v>CO</v>
          </cell>
          <cell r="C1560" t="str">
            <v>ELECTRO ASE COMPRESORES LTDA</v>
          </cell>
        </row>
        <row r="1561">
          <cell r="A1561">
            <v>830146870</v>
          </cell>
          <cell r="B1561" t="str">
            <v>CO</v>
          </cell>
          <cell r="C1561" t="str">
            <v>DISTRIBUIDORA PENAGOS EU</v>
          </cell>
        </row>
        <row r="1562">
          <cell r="A1562">
            <v>830500999</v>
          </cell>
          <cell r="B1562" t="str">
            <v>CO</v>
          </cell>
          <cell r="C1562" t="str">
            <v>COLMUDANZAS INTERNACIONAL E.U</v>
          </cell>
        </row>
        <row r="1563">
          <cell r="A1563">
            <v>830505410</v>
          </cell>
          <cell r="B1563" t="str">
            <v>CO</v>
          </cell>
          <cell r="C1563" t="str">
            <v>LEGARRA SA</v>
          </cell>
        </row>
        <row r="1564">
          <cell r="A1564">
            <v>830505876</v>
          </cell>
          <cell r="B1564" t="str">
            <v>CO</v>
          </cell>
          <cell r="C1564" t="str">
            <v>INVERSIONES SANTA BARBARA RBR LTDA</v>
          </cell>
        </row>
        <row r="1565">
          <cell r="A1565">
            <v>830506403</v>
          </cell>
          <cell r="B1565" t="str">
            <v>CO</v>
          </cell>
          <cell r="C1565" t="str">
            <v>MICRA SOLUCIONES FUNCIONALES LTDA</v>
          </cell>
        </row>
        <row r="1566">
          <cell r="A1566">
            <v>830508168</v>
          </cell>
          <cell r="B1566" t="str">
            <v>CO</v>
          </cell>
          <cell r="C1566" t="str">
            <v>PRELEGAL ASSIST S.A.</v>
          </cell>
        </row>
        <row r="1567">
          <cell r="A1567">
            <v>830509871</v>
          </cell>
          <cell r="B1567" t="str">
            <v>CO</v>
          </cell>
          <cell r="C1567" t="str">
            <v>TRASNPORTES JAIME BUENDIA LTDA</v>
          </cell>
        </row>
        <row r="1568">
          <cell r="A1568">
            <v>830510136</v>
          </cell>
          <cell r="B1568" t="str">
            <v>CO</v>
          </cell>
          <cell r="C1568" t="str">
            <v>AGROMARINOS J MORENO &amp; CIA SAS</v>
          </cell>
        </row>
        <row r="1569">
          <cell r="A1569">
            <v>830510145</v>
          </cell>
          <cell r="B1569" t="str">
            <v>CO</v>
          </cell>
          <cell r="C1569" t="str">
            <v>SERVIAMBIENTAL EMPRESA DE SERVICIOS</v>
          </cell>
        </row>
        <row r="1570">
          <cell r="A1570">
            <v>830510783</v>
          </cell>
          <cell r="B1570" t="str">
            <v>CO</v>
          </cell>
          <cell r="C1570" t="str">
            <v>POWER OIL&amp;GAS SAS</v>
          </cell>
        </row>
        <row r="1571">
          <cell r="A1571">
            <v>830513238</v>
          </cell>
          <cell r="B1571" t="str">
            <v>CO</v>
          </cell>
          <cell r="C1571" t="str">
            <v>CONEXRED SA</v>
          </cell>
        </row>
        <row r="1572">
          <cell r="A1572">
            <v>830513652</v>
          </cell>
          <cell r="B1572" t="str">
            <v>CO</v>
          </cell>
          <cell r="C1572" t="str">
            <v>SURTITORNILLOS EU</v>
          </cell>
        </row>
        <row r="1573">
          <cell r="A1573">
            <v>830513729</v>
          </cell>
          <cell r="B1573" t="str">
            <v>CO</v>
          </cell>
          <cell r="C1573" t="str">
            <v>COMBUSTIBLES DE COLOMBIA SA</v>
          </cell>
        </row>
        <row r="1574">
          <cell r="A1574">
            <v>832000773</v>
          </cell>
          <cell r="B1574" t="str">
            <v>CO</v>
          </cell>
          <cell r="C1574" t="str">
            <v>FUMIGAR &amp; SERVICIOS LTDA</v>
          </cell>
        </row>
        <row r="1575">
          <cell r="A1575">
            <v>832002321</v>
          </cell>
          <cell r="B1575" t="str">
            <v>CO</v>
          </cell>
          <cell r="C1575" t="str">
            <v>ESTACION DE SERVICIO NUEVA AVENIDA</v>
          </cell>
        </row>
        <row r="1576">
          <cell r="A1576">
            <v>832002372</v>
          </cell>
          <cell r="B1576" t="str">
            <v>CO</v>
          </cell>
          <cell r="C1576" t="str">
            <v>CORP SAL PUEBLO VIEJO COUNTRY CLUB</v>
          </cell>
        </row>
        <row r="1577">
          <cell r="A1577">
            <v>832003045</v>
          </cell>
          <cell r="B1577" t="str">
            <v>CO</v>
          </cell>
          <cell r="C1577" t="str">
            <v>CALCULOS DISEÑOS CONSTRUCCIONES</v>
          </cell>
        </row>
        <row r="1578">
          <cell r="A1578">
            <v>832004257</v>
          </cell>
          <cell r="B1578" t="str">
            <v>CO</v>
          </cell>
          <cell r="C1578" t="str">
            <v>RUIZ DELGADO CIA LTDA</v>
          </cell>
        </row>
        <row r="1579">
          <cell r="A1579">
            <v>832004567</v>
          </cell>
          <cell r="B1579" t="str">
            <v>CO</v>
          </cell>
          <cell r="C1579" t="str">
            <v>DEPOSITO SAN MIGUEL S.A.S</v>
          </cell>
        </row>
        <row r="1580">
          <cell r="A1580">
            <v>832005245</v>
          </cell>
          <cell r="B1580" t="str">
            <v>CO</v>
          </cell>
          <cell r="C1580" t="str">
            <v>RESTAURANTE LAS VIOLETAS</v>
          </cell>
        </row>
        <row r="1581">
          <cell r="A1581">
            <v>832005617</v>
          </cell>
          <cell r="B1581" t="str">
            <v>CO</v>
          </cell>
          <cell r="C1581" t="str">
            <v>SURTIFRUVER DE LA SABANA LTDA</v>
          </cell>
        </row>
        <row r="1582">
          <cell r="A1582">
            <v>832007545</v>
          </cell>
          <cell r="B1582" t="str">
            <v>CO</v>
          </cell>
          <cell r="C1582" t="str">
            <v>AQUAPOLIS SA ESP</v>
          </cell>
        </row>
        <row r="1583">
          <cell r="A1583">
            <v>832009308</v>
          </cell>
          <cell r="B1583" t="str">
            <v>CO</v>
          </cell>
          <cell r="C1583" t="str">
            <v>OPERADORES DE COMBUSTIBLES</v>
          </cell>
        </row>
        <row r="1584">
          <cell r="A1584">
            <v>834001427</v>
          </cell>
          <cell r="B1584" t="str">
            <v>CO</v>
          </cell>
          <cell r="C1584" t="str">
            <v>TECNIORIENTE WELL SERVICES</v>
          </cell>
        </row>
        <row r="1585">
          <cell r="A1585">
            <v>844000670</v>
          </cell>
          <cell r="B1585" t="str">
            <v>CO</v>
          </cell>
          <cell r="C1585" t="str">
            <v>MONTAJES JM SA</v>
          </cell>
        </row>
        <row r="1586">
          <cell r="A1586">
            <v>844001116</v>
          </cell>
          <cell r="B1586" t="str">
            <v>CO</v>
          </cell>
          <cell r="C1586" t="str">
            <v>EDS EL RAIZAL</v>
          </cell>
        </row>
        <row r="1587">
          <cell r="A1587">
            <v>844004705</v>
          </cell>
          <cell r="B1587" t="str">
            <v>CO</v>
          </cell>
          <cell r="C1587" t="str">
            <v>SERVI-SUMINISTROS LTDA</v>
          </cell>
        </row>
        <row r="1588">
          <cell r="A1588">
            <v>844004922</v>
          </cell>
          <cell r="B1588" t="str">
            <v>CO</v>
          </cell>
          <cell r="C1588" t="str">
            <v>ESTACION DE SERVICIO BRIO LA</v>
          </cell>
        </row>
        <row r="1589">
          <cell r="A1589">
            <v>860000018</v>
          </cell>
          <cell r="B1589" t="str">
            <v>CO</v>
          </cell>
          <cell r="C1589" t="str">
            <v>AVIATUR S.A.</v>
          </cell>
        </row>
        <row r="1590">
          <cell r="A1590">
            <v>860000073</v>
          </cell>
          <cell r="B1590" t="str">
            <v>CO</v>
          </cell>
          <cell r="C1590" t="str">
            <v>ALMACEN PARKER LTDA</v>
          </cell>
        </row>
        <row r="1591">
          <cell r="A1591">
            <v>860001022</v>
          </cell>
          <cell r="B1591" t="str">
            <v>CO</v>
          </cell>
          <cell r="C1591" t="str">
            <v>CASA EDITORIAL EL TIEMPO SA</v>
          </cell>
        </row>
        <row r="1592">
          <cell r="A1592">
            <v>860001307</v>
          </cell>
          <cell r="B1592" t="str">
            <v>CO</v>
          </cell>
          <cell r="C1592" t="str">
            <v>DISRIBUIDORA NISSAN SA</v>
          </cell>
        </row>
        <row r="1593">
          <cell r="A1593">
            <v>860001371</v>
          </cell>
          <cell r="B1593" t="str">
            <v>CO</v>
          </cell>
          <cell r="C1593" t="str">
            <v>AUTOBOY</v>
          </cell>
        </row>
        <row r="1594">
          <cell r="A1594">
            <v>860001584</v>
          </cell>
          <cell r="B1594" t="str">
            <v>CO</v>
          </cell>
          <cell r="C1594" t="str">
            <v>MECANELECTRO SA</v>
          </cell>
        </row>
        <row r="1595">
          <cell r="A1595">
            <v>860001607</v>
          </cell>
          <cell r="B1595" t="str">
            <v>CO</v>
          </cell>
          <cell r="C1595" t="str">
            <v>FERRETREIA REINA S.A.</v>
          </cell>
        </row>
        <row r="1596">
          <cell r="A1596">
            <v>860001697</v>
          </cell>
          <cell r="B1596" t="str">
            <v>CO</v>
          </cell>
          <cell r="C1596" t="str">
            <v>GASEOSAS LUX SA</v>
          </cell>
        </row>
        <row r="1597">
          <cell r="A1597">
            <v>860001710</v>
          </cell>
          <cell r="B1597" t="str">
            <v>CO</v>
          </cell>
          <cell r="C1597" t="str">
            <v>VANSOLIX SA</v>
          </cell>
        </row>
        <row r="1598">
          <cell r="A1598">
            <v>860001778</v>
          </cell>
          <cell r="B1598" t="str">
            <v>CO</v>
          </cell>
          <cell r="C1598" t="str">
            <v>INDUSTRIAS IVOR SA CASA INGLESA</v>
          </cell>
        </row>
        <row r="1599">
          <cell r="A1599">
            <v>860002120</v>
          </cell>
          <cell r="B1599" t="str">
            <v>CO</v>
          </cell>
          <cell r="C1599" t="str">
            <v>IBM DE COLOMBIA &amp; CIA SCA</v>
          </cell>
        </row>
        <row r="1600">
          <cell r="A1600">
            <v>860002184</v>
          </cell>
          <cell r="B1600" t="str">
            <v>CO</v>
          </cell>
          <cell r="C1600" t="str">
            <v>AXA COLPATRIA SEGUROS S.A.</v>
          </cell>
        </row>
        <row r="1601">
          <cell r="A1601">
            <v>860002190</v>
          </cell>
          <cell r="B1601" t="str">
            <v>CO</v>
          </cell>
          <cell r="C1601" t="str">
            <v>SHELL COLOMBIA SA</v>
          </cell>
        </row>
        <row r="1602">
          <cell r="A1602">
            <v>860002400</v>
          </cell>
          <cell r="B1602" t="str">
            <v>CO</v>
          </cell>
          <cell r="C1602" t="str">
            <v>LA PREVISORA SA</v>
          </cell>
        </row>
        <row r="1603">
          <cell r="A1603">
            <v>860002455</v>
          </cell>
          <cell r="B1603" t="str">
            <v>CO</v>
          </cell>
          <cell r="C1603" t="str">
            <v>BARNES DE COLOMBIA SA</v>
          </cell>
        </row>
        <row r="1604">
          <cell r="A1604">
            <v>860002554</v>
          </cell>
          <cell r="B1604" t="str">
            <v>CO</v>
          </cell>
          <cell r="C1604" t="str">
            <v>EXXONMOBIL DE COLOMBIA S.A.</v>
          </cell>
        </row>
        <row r="1605">
          <cell r="A1605">
            <v>860002566</v>
          </cell>
          <cell r="B1605" t="str">
            <v>CO</v>
          </cell>
          <cell r="C1605" t="str">
            <v>FLOTA LA MACARENA SA</v>
          </cell>
        </row>
        <row r="1606">
          <cell r="A1606">
            <v>860002964</v>
          </cell>
          <cell r="B1606" t="str">
            <v>CO</v>
          </cell>
          <cell r="C1606" t="str">
            <v>BANCO DE BOGOTA</v>
          </cell>
        </row>
        <row r="1607">
          <cell r="A1607">
            <v>860003020</v>
          </cell>
          <cell r="B1607" t="str">
            <v>CO</v>
          </cell>
          <cell r="C1607" t="str">
            <v>BANCO BILBAO VIZCAYA ARGENTARIA</v>
          </cell>
        </row>
        <row r="1608">
          <cell r="A1608">
            <v>860003428</v>
          </cell>
          <cell r="B1608" t="str">
            <v>CO</v>
          </cell>
          <cell r="C1608" t="str">
            <v>ALMACENES Y TALLERES</v>
          </cell>
        </row>
        <row r="1609">
          <cell r="A1609">
            <v>860003563</v>
          </cell>
          <cell r="B1609" t="str">
            <v>CO</v>
          </cell>
          <cell r="C1609" t="str">
            <v>ABB LTDA</v>
          </cell>
        </row>
        <row r="1610">
          <cell r="A1610">
            <v>860004864</v>
          </cell>
          <cell r="B1610" t="str">
            <v>CO</v>
          </cell>
          <cell r="C1610" t="str">
            <v>OCCIDENTAL ANDINA LLC</v>
          </cell>
        </row>
        <row r="1611">
          <cell r="A1611">
            <v>860005108</v>
          </cell>
          <cell r="B1611" t="str">
            <v>CO</v>
          </cell>
          <cell r="C1611" t="str">
            <v>EXPRESO BOLIVARIANO</v>
          </cell>
        </row>
        <row r="1612">
          <cell r="A1612">
            <v>860005223</v>
          </cell>
          <cell r="B1612" t="str">
            <v>CO</v>
          </cell>
          <cell r="C1612" t="str">
            <v>CHEVRON PETROLEUM COMPANY</v>
          </cell>
        </row>
        <row r="1613">
          <cell r="A1613">
            <v>860005265</v>
          </cell>
          <cell r="B1613" t="str">
            <v>CO</v>
          </cell>
          <cell r="C1613" t="str">
            <v>GASEOSAS COLOMBIANAS S.A.</v>
          </cell>
        </row>
        <row r="1614">
          <cell r="A1614">
            <v>860006119</v>
          </cell>
          <cell r="B1614" t="str">
            <v>CO</v>
          </cell>
          <cell r="C1614" t="str">
            <v>COMPAÑIA METROPOLITANA DE</v>
          </cell>
        </row>
        <row r="1615">
          <cell r="A1615">
            <v>860006237</v>
          </cell>
          <cell r="B1615" t="str">
            <v>CO</v>
          </cell>
          <cell r="C1615" t="str">
            <v>URIGO LTDA</v>
          </cell>
        </row>
        <row r="1616">
          <cell r="A1616">
            <v>860007322</v>
          </cell>
          <cell r="B1616" t="str">
            <v>CO</v>
          </cell>
          <cell r="C1616" t="str">
            <v>CAMARA DE COMERCIO DE BOGOTA</v>
          </cell>
        </row>
        <row r="1617">
          <cell r="A1617">
            <v>860007336</v>
          </cell>
          <cell r="B1617" t="str">
            <v>CO</v>
          </cell>
          <cell r="C1617" t="str">
            <v>COLSUBSIDIO</v>
          </cell>
        </row>
        <row r="1618">
          <cell r="A1618">
            <v>860007378</v>
          </cell>
          <cell r="B1618" t="str">
            <v>CO</v>
          </cell>
          <cell r="C1618" t="str">
            <v>CONSEJO COLOMBIANO DE SEGURIDAD</v>
          </cell>
        </row>
        <row r="1619">
          <cell r="A1619">
            <v>860007660</v>
          </cell>
          <cell r="B1619" t="str">
            <v>CO</v>
          </cell>
          <cell r="C1619" t="str">
            <v>GRUPO HELM</v>
          </cell>
        </row>
        <row r="1620">
          <cell r="A1620">
            <v>860007738</v>
          </cell>
          <cell r="B1620" t="str">
            <v>CO</v>
          </cell>
          <cell r="C1620" t="str">
            <v>BANCO POPULAR S.A.</v>
          </cell>
        </row>
        <row r="1621">
          <cell r="A1621">
            <v>860008645</v>
          </cell>
          <cell r="B1621" t="str">
            <v>CO</v>
          </cell>
          <cell r="C1621" t="str">
            <v>LIBERTY SEGUROS DE VIDA S.A.</v>
          </cell>
        </row>
        <row r="1622">
          <cell r="A1622">
            <v>860008817</v>
          </cell>
          <cell r="B1622" t="str">
            <v>CO</v>
          </cell>
          <cell r="C1622" t="str">
            <v>MERSEN COLOMBIA S.A</v>
          </cell>
        </row>
        <row r="1623">
          <cell r="A1623">
            <v>860008940</v>
          </cell>
          <cell r="B1623" t="str">
            <v>CO</v>
          </cell>
          <cell r="C1623" t="str">
            <v>CLUB LOS LAGARTOS</v>
          </cell>
        </row>
        <row r="1624">
          <cell r="A1624">
            <v>860009143</v>
          </cell>
          <cell r="B1624" t="str">
            <v>CO</v>
          </cell>
          <cell r="C1624" t="str">
            <v>FLOTA VALLE DE TENZA SA</v>
          </cell>
        </row>
        <row r="1625">
          <cell r="A1625">
            <v>860009195</v>
          </cell>
          <cell r="B1625" t="str">
            <v>CO</v>
          </cell>
          <cell r="C1625" t="str">
            <v>SEGUROS DE CREDITO Y CUMPLIMIENTO</v>
          </cell>
        </row>
        <row r="1626">
          <cell r="A1626">
            <v>860009578</v>
          </cell>
          <cell r="B1626" t="str">
            <v>CO</v>
          </cell>
          <cell r="C1626" t="str">
            <v>SEGUROS DEL ESTADO S.A.</v>
          </cell>
        </row>
        <row r="1627">
          <cell r="A1627">
            <v>860010305</v>
          </cell>
          <cell r="B1627" t="str">
            <v>CO</v>
          </cell>
          <cell r="C1627" t="str">
            <v>CLUB CAMPESTRE EL RANCHO</v>
          </cell>
        </row>
        <row r="1628">
          <cell r="A1628">
            <v>860013570</v>
          </cell>
          <cell r="B1628" t="str">
            <v>CO</v>
          </cell>
          <cell r="C1628" t="str">
            <v>CAJA DE COMPENSACION FAMILIAR CAFAM</v>
          </cell>
        </row>
        <row r="1629">
          <cell r="A1629">
            <v>860013683</v>
          </cell>
          <cell r="B1629" t="str">
            <v>CO</v>
          </cell>
          <cell r="C1629" t="str">
            <v>COOPAVA</v>
          </cell>
        </row>
        <row r="1630">
          <cell r="A1630">
            <v>860014493</v>
          </cell>
          <cell r="B1630" t="str">
            <v>CO</v>
          </cell>
          <cell r="C1630" t="str">
            <v>COOP. INTEGRAL DE TRANS.</v>
          </cell>
        </row>
        <row r="1631">
          <cell r="A1631">
            <v>860020174</v>
          </cell>
          <cell r="B1631" t="str">
            <v>CO</v>
          </cell>
          <cell r="C1631" t="str">
            <v>AEROLINEAS ARGENTINAS SA</v>
          </cell>
        </row>
        <row r="1632">
          <cell r="A1632">
            <v>860020369</v>
          </cell>
          <cell r="B1632" t="str">
            <v>CO</v>
          </cell>
          <cell r="C1632" t="str">
            <v>SU OPORTUNO SERVICIO  SOS LTDA</v>
          </cell>
        </row>
        <row r="1633">
          <cell r="A1633">
            <v>860020439</v>
          </cell>
          <cell r="B1633" t="str">
            <v>CO</v>
          </cell>
          <cell r="C1633" t="str">
            <v>MONOMEROS COLOMBO VENEZOLANOS SA</v>
          </cell>
        </row>
        <row r="1634">
          <cell r="A1634">
            <v>860023369</v>
          </cell>
          <cell r="B1634" t="str">
            <v>CO</v>
          </cell>
          <cell r="C1634" t="str">
            <v>LUIS EDUARDO CAICEDO S.A</v>
          </cell>
        </row>
        <row r="1635">
          <cell r="A1635">
            <v>860024479</v>
          </cell>
          <cell r="B1635" t="str">
            <v>CO</v>
          </cell>
          <cell r="C1635" t="str">
            <v>RECTIFICADORES DE MOTORES MAYORGA</v>
          </cell>
        </row>
        <row r="1636">
          <cell r="A1636">
            <v>860025338</v>
          </cell>
          <cell r="B1636" t="str">
            <v>CO</v>
          </cell>
          <cell r="C1636" t="str">
            <v>COPA SA</v>
          </cell>
        </row>
        <row r="1637">
          <cell r="A1637">
            <v>860025461</v>
          </cell>
          <cell r="B1637" t="str">
            <v>CO</v>
          </cell>
          <cell r="C1637" t="str">
            <v>AVESCO SA</v>
          </cell>
        </row>
        <row r="1638">
          <cell r="A1638">
            <v>860026518</v>
          </cell>
          <cell r="B1638" t="str">
            <v>CO</v>
          </cell>
          <cell r="C1638" t="str">
            <v>ACE SEGUROS</v>
          </cell>
        </row>
        <row r="1639">
          <cell r="A1639">
            <v>860029155</v>
          </cell>
          <cell r="B1639" t="str">
            <v>CO</v>
          </cell>
          <cell r="C1639" t="str">
            <v>ROCEBER SAS</v>
          </cell>
        </row>
        <row r="1640">
          <cell r="A1640">
            <v>860029840</v>
          </cell>
          <cell r="B1640" t="str">
            <v>CO</v>
          </cell>
          <cell r="C1640" t="str">
            <v>GRANADA SA</v>
          </cell>
        </row>
        <row r="1641">
          <cell r="A1641">
            <v>860030723</v>
          </cell>
          <cell r="B1641" t="str">
            <v>CO</v>
          </cell>
          <cell r="C1641" t="str">
            <v>MEM LTDA.</v>
          </cell>
        </row>
        <row r="1642">
          <cell r="A1642">
            <v>860030828</v>
          </cell>
          <cell r="B1642" t="str">
            <v>CO</v>
          </cell>
          <cell r="C1642" t="str">
            <v>FISA FERRETERIA INDUSTRIAL S.A.</v>
          </cell>
        </row>
        <row r="1643">
          <cell r="A1643">
            <v>860031028</v>
          </cell>
          <cell r="B1643" t="str">
            <v>CO</v>
          </cell>
          <cell r="C1643" t="str">
            <v>SIEMENS SA</v>
          </cell>
        </row>
        <row r="1644">
          <cell r="A1644">
            <v>860032095</v>
          </cell>
          <cell r="B1644" t="str">
            <v>CO</v>
          </cell>
          <cell r="C1644" t="str">
            <v>PARQUEADEROS YA LTDA</v>
          </cell>
        </row>
        <row r="1645">
          <cell r="A1645">
            <v>860032330</v>
          </cell>
          <cell r="B1645" t="str">
            <v>CO</v>
          </cell>
          <cell r="C1645" t="str">
            <v>COMPAÑIA DE FINANCIAMIENTO TUYA</v>
          </cell>
        </row>
        <row r="1646">
          <cell r="A1646">
            <v>860032463</v>
          </cell>
          <cell r="B1646" t="str">
            <v>CO</v>
          </cell>
          <cell r="C1646" t="str">
            <v>PERENCO COLOMBIA LIMITED</v>
          </cell>
        </row>
        <row r="1647">
          <cell r="A1647">
            <v>860033633</v>
          </cell>
          <cell r="B1647" t="str">
            <v>CO</v>
          </cell>
          <cell r="C1647" t="str">
            <v>RAYO GAS</v>
          </cell>
        </row>
        <row r="1648">
          <cell r="A1648">
            <v>860033891</v>
          </cell>
          <cell r="B1648" t="str">
            <v>CO</v>
          </cell>
          <cell r="C1648" t="str">
            <v>SERVICENTO EL SOSIEGO</v>
          </cell>
        </row>
        <row r="1649">
          <cell r="A1649">
            <v>860034313</v>
          </cell>
          <cell r="B1649" t="str">
            <v>CO</v>
          </cell>
          <cell r="C1649" t="str">
            <v>DAVIVIENDA SA</v>
          </cell>
        </row>
        <row r="1650">
          <cell r="A1650">
            <v>860034594</v>
          </cell>
          <cell r="B1650" t="str">
            <v>CO</v>
          </cell>
          <cell r="C1650" t="str">
            <v>COLPATRIA RED MULTIBANCA</v>
          </cell>
        </row>
        <row r="1651">
          <cell r="A1651">
            <v>860036365</v>
          </cell>
          <cell r="B1651" t="str">
            <v>CO</v>
          </cell>
          <cell r="C1651" t="str">
            <v>CONCRELAB SAS</v>
          </cell>
        </row>
        <row r="1652">
          <cell r="A1652">
            <v>860039988</v>
          </cell>
          <cell r="B1652" t="str">
            <v>CO</v>
          </cell>
          <cell r="C1652" t="str">
            <v>LIBERTY SEGUROS S.A.</v>
          </cell>
        </row>
        <row r="1653">
          <cell r="A1653">
            <v>860043896</v>
          </cell>
          <cell r="B1653" t="str">
            <v>CO</v>
          </cell>
          <cell r="C1653" t="str">
            <v>CIUDADELA COMERCIAL UNICENTRO</v>
          </cell>
        </row>
        <row r="1654">
          <cell r="A1654">
            <v>860044798</v>
          </cell>
          <cell r="B1654" t="str">
            <v>CO</v>
          </cell>
          <cell r="C1654" t="str">
            <v>LA ESQUINA DE LOS PLASTICOS</v>
          </cell>
        </row>
        <row r="1655">
          <cell r="A1655">
            <v>860045752</v>
          </cell>
          <cell r="B1655" t="str">
            <v>CO</v>
          </cell>
          <cell r="C1655" t="str">
            <v>AUROS COPIAS SA</v>
          </cell>
        </row>
        <row r="1656">
          <cell r="A1656">
            <v>860045854</v>
          </cell>
          <cell r="B1656" t="str">
            <v>CO</v>
          </cell>
          <cell r="C1656" t="str">
            <v>ALMACENES MAXIMO S.A.</v>
          </cell>
        </row>
        <row r="1657">
          <cell r="A1657">
            <v>860046201</v>
          </cell>
          <cell r="B1657" t="str">
            <v>CO</v>
          </cell>
          <cell r="C1657" t="str">
            <v>FORTOX SECURITY GROUP</v>
          </cell>
        </row>
        <row r="1658">
          <cell r="A1658">
            <v>860048182</v>
          </cell>
          <cell r="B1658" t="str">
            <v>CO</v>
          </cell>
          <cell r="C1658" t="str">
            <v>INVERSIONES LIBRA SA</v>
          </cell>
        </row>
        <row r="1659">
          <cell r="A1659">
            <v>860048532</v>
          </cell>
          <cell r="B1659" t="str">
            <v>CO</v>
          </cell>
          <cell r="C1659" t="str">
            <v>GENERAL FIRE CONTROL</v>
          </cell>
        </row>
        <row r="1660">
          <cell r="A1660">
            <v>860049240</v>
          </cell>
          <cell r="B1660" t="str">
            <v>CO</v>
          </cell>
          <cell r="C1660" t="str">
            <v>LONGANIZA LTDA</v>
          </cell>
        </row>
        <row r="1661">
          <cell r="A1661">
            <v>860050750</v>
          </cell>
          <cell r="B1661" t="str">
            <v>CO</v>
          </cell>
          <cell r="C1661" t="str">
            <v>BANCO GNB SUDAMERIS</v>
          </cell>
        </row>
        <row r="1662">
          <cell r="A1662">
            <v>860051135</v>
          </cell>
          <cell r="B1662" t="str">
            <v>CO</v>
          </cell>
          <cell r="C1662" t="str">
            <v>CITIBANK</v>
          </cell>
        </row>
        <row r="1663">
          <cell r="A1663">
            <v>860052409</v>
          </cell>
          <cell r="B1663" t="str">
            <v>CO</v>
          </cell>
          <cell r="C1663" t="str">
            <v>PARQUEADERO AJUCAX</v>
          </cell>
        </row>
        <row r="1664">
          <cell r="A1664">
            <v>860052585</v>
          </cell>
          <cell r="B1664" t="str">
            <v>CO</v>
          </cell>
          <cell r="C1664" t="str">
            <v>SERVICIOS AL TRANSPORTE S A</v>
          </cell>
        </row>
        <row r="1665">
          <cell r="A1665">
            <v>860053949</v>
          </cell>
          <cell r="B1665" t="str">
            <v>CO</v>
          </cell>
          <cell r="C1665" t="str">
            <v>INVERSIONES ADK SAS</v>
          </cell>
        </row>
        <row r="1666">
          <cell r="A1666">
            <v>860054854</v>
          </cell>
          <cell r="B1666" t="str">
            <v>CO</v>
          </cell>
          <cell r="C1666" t="str">
            <v>IMPORTADORES EXPORTADORES SOLMAQ SA</v>
          </cell>
        </row>
        <row r="1667">
          <cell r="A1667">
            <v>860055558</v>
          </cell>
          <cell r="B1667" t="str">
            <v>CO</v>
          </cell>
          <cell r="C1667" t="str">
            <v>ACERO ESTRUCTURAL DE COLOMBIA S A S</v>
          </cell>
        </row>
        <row r="1668">
          <cell r="A1668">
            <v>860055583</v>
          </cell>
          <cell r="B1668" t="str">
            <v>CO</v>
          </cell>
          <cell r="C1668" t="str">
            <v>EQUIPOS Y CONTROLES INDUSTRIALES SA</v>
          </cell>
        </row>
        <row r="1669">
          <cell r="A1669">
            <v>860056364</v>
          </cell>
          <cell r="B1669" t="str">
            <v>CO</v>
          </cell>
          <cell r="C1669" t="str">
            <v>AGROFILTER SAS</v>
          </cell>
        </row>
        <row r="1670">
          <cell r="A1670">
            <v>860058760</v>
          </cell>
          <cell r="B1670" t="str">
            <v>CO</v>
          </cell>
          <cell r="C1670" t="str">
            <v>PARKING INTERNACIONAL LTDA</v>
          </cell>
        </row>
        <row r="1671">
          <cell r="A1671">
            <v>860059294</v>
          </cell>
          <cell r="B1671" t="str">
            <v>CO</v>
          </cell>
          <cell r="C1671" t="str">
            <v>LEASING BANCOLOMBIA S.A.</v>
          </cell>
        </row>
        <row r="1672">
          <cell r="A1672">
            <v>860059470</v>
          </cell>
          <cell r="B1672" t="str">
            <v>CO</v>
          </cell>
          <cell r="C1672" t="str">
            <v>SUMINISTROS INDUSTRIALES Y</v>
          </cell>
        </row>
        <row r="1673">
          <cell r="A1673">
            <v>860060207</v>
          </cell>
          <cell r="B1673" t="str">
            <v>CO</v>
          </cell>
          <cell r="C1673" t="str">
            <v>LA CASA DE LA GRECA SAS</v>
          </cell>
        </row>
        <row r="1674">
          <cell r="A1674">
            <v>860061599</v>
          </cell>
          <cell r="B1674" t="str">
            <v>CO</v>
          </cell>
          <cell r="C1674" t="str">
            <v>CIDINA LTDA.</v>
          </cell>
        </row>
        <row r="1675">
          <cell r="A1675">
            <v>860062165</v>
          </cell>
          <cell r="B1675" t="str">
            <v>CO</v>
          </cell>
          <cell r="C1675" t="str">
            <v>ACIEM</v>
          </cell>
        </row>
        <row r="1676">
          <cell r="A1676">
            <v>860062958</v>
          </cell>
          <cell r="B1676" t="str">
            <v>CO</v>
          </cell>
          <cell r="C1676" t="str">
            <v>REDES ELECTRICAS S.A.</v>
          </cell>
        </row>
        <row r="1677">
          <cell r="A1677">
            <v>860063830</v>
          </cell>
          <cell r="B1677" t="str">
            <v>CO</v>
          </cell>
          <cell r="C1677" t="str">
            <v>ESTILO INGENIERIA SA</v>
          </cell>
        </row>
        <row r="1678">
          <cell r="A1678">
            <v>860065726</v>
          </cell>
          <cell r="B1678" t="str">
            <v>CO</v>
          </cell>
          <cell r="C1678" t="str">
            <v>SUMINISTROS INDUSTRIALES DE</v>
          </cell>
        </row>
        <row r="1679">
          <cell r="A1679">
            <v>860066942</v>
          </cell>
          <cell r="B1679" t="str">
            <v>CO</v>
          </cell>
          <cell r="C1679" t="str">
            <v>COMPENSAR E.P.S.</v>
          </cell>
        </row>
        <row r="1680">
          <cell r="A1680">
            <v>860067203</v>
          </cell>
          <cell r="B1680" t="str">
            <v>CO</v>
          </cell>
          <cell r="C1680" t="str">
            <v>LEASING BOLIVAR S.A.</v>
          </cell>
        </row>
        <row r="1681">
          <cell r="A1681">
            <v>860067853</v>
          </cell>
          <cell r="B1681" t="str">
            <v>CO</v>
          </cell>
          <cell r="C1681" t="str">
            <v>MAMUT DE COLOMBIA SAS</v>
          </cell>
        </row>
        <row r="1682">
          <cell r="A1682">
            <v>860068182</v>
          </cell>
          <cell r="B1682" t="str">
            <v>CO</v>
          </cell>
          <cell r="C1682" t="str">
            <v>CORREVAL SA</v>
          </cell>
        </row>
        <row r="1683">
          <cell r="A1683">
            <v>860069040</v>
          </cell>
          <cell r="B1683" t="str">
            <v>CO</v>
          </cell>
          <cell r="C1683" t="str">
            <v>CALZADO JOVICAL SA</v>
          </cell>
        </row>
        <row r="1684">
          <cell r="A1684">
            <v>860069344</v>
          </cell>
          <cell r="B1684" t="str">
            <v>CO</v>
          </cell>
          <cell r="C1684" t="str">
            <v>INDUSTRIAS RAMFE S.A.S</v>
          </cell>
        </row>
        <row r="1685">
          <cell r="A1685">
            <v>860069497</v>
          </cell>
          <cell r="B1685" t="str">
            <v>CO</v>
          </cell>
          <cell r="C1685" t="str">
            <v>AUTONIZA SA</v>
          </cell>
        </row>
        <row r="1686">
          <cell r="A1686">
            <v>860069804</v>
          </cell>
          <cell r="B1686" t="str">
            <v>CO</v>
          </cell>
          <cell r="C1686" t="str">
            <v>CARBONES DEL CERREJON LIMITED</v>
          </cell>
        </row>
        <row r="1687">
          <cell r="A1687">
            <v>860070301</v>
          </cell>
          <cell r="B1687" t="str">
            <v>CO</v>
          </cell>
          <cell r="C1687" t="str">
            <v>CRUZ ROJA COLOMBIANA</v>
          </cell>
        </row>
        <row r="1688">
          <cell r="A1688">
            <v>860070374</v>
          </cell>
          <cell r="B1688" t="str">
            <v>CO</v>
          </cell>
          <cell r="C1688" t="str">
            <v>CONFIANZA COMPAÑIA ASEGURADORA</v>
          </cell>
        </row>
        <row r="1689">
          <cell r="A1689">
            <v>860072271</v>
          </cell>
          <cell r="B1689" t="str">
            <v>CO</v>
          </cell>
          <cell r="C1689" t="str">
            <v>CENTRAL DE TORNILLOS</v>
          </cell>
        </row>
        <row r="1690">
          <cell r="A1690">
            <v>860072865</v>
          </cell>
          <cell r="B1690" t="str">
            <v>CO</v>
          </cell>
          <cell r="C1690" t="str">
            <v>AGENCIA DE ADUANAS MAR Y AIRE SAS</v>
          </cell>
        </row>
        <row r="1691">
          <cell r="A1691">
            <v>860072901</v>
          </cell>
          <cell r="B1691" t="str">
            <v>CO</v>
          </cell>
          <cell r="C1691" t="str">
            <v>COINVER SA</v>
          </cell>
        </row>
        <row r="1692">
          <cell r="A1692">
            <v>860074389</v>
          </cell>
          <cell r="B1692" t="str">
            <v>CO</v>
          </cell>
          <cell r="C1692" t="str">
            <v>OIKOS SOCIEDAD DE INVERSIONES S.A</v>
          </cell>
        </row>
        <row r="1693">
          <cell r="A1693">
            <v>860076919</v>
          </cell>
          <cell r="B1693" t="str">
            <v>CO</v>
          </cell>
          <cell r="C1693" t="str">
            <v>CREPES Y WAFFLES S.A.</v>
          </cell>
        </row>
        <row r="1694">
          <cell r="A1694">
            <v>860078767</v>
          </cell>
          <cell r="B1694" t="str">
            <v>CO</v>
          </cell>
          <cell r="C1694" t="str">
            <v>LA FRAGATA NORTE LTDA.</v>
          </cell>
        </row>
        <row r="1695">
          <cell r="A1695">
            <v>860080005</v>
          </cell>
          <cell r="B1695" t="str">
            <v>CO</v>
          </cell>
          <cell r="C1695" t="str">
            <v>TECNICAS ELECTRICAS APLICADAS S.A.</v>
          </cell>
        </row>
        <row r="1696">
          <cell r="A1696">
            <v>860090404</v>
          </cell>
          <cell r="B1696" t="str">
            <v>CO</v>
          </cell>
          <cell r="C1696" t="str">
            <v>SEI SISTEMAS E INSTRUMENTACION SA</v>
          </cell>
        </row>
        <row r="1697">
          <cell r="A1697">
            <v>860350253</v>
          </cell>
          <cell r="B1697" t="str">
            <v>CO</v>
          </cell>
          <cell r="C1697" t="str">
            <v>ANDRES CARNE DE RES</v>
          </cell>
        </row>
        <row r="1698">
          <cell r="A1698">
            <v>860351806</v>
          </cell>
          <cell r="B1698" t="str">
            <v>CO</v>
          </cell>
          <cell r="C1698" t="str">
            <v>CAFÉ Y CREPES LTDA</v>
          </cell>
        </row>
        <row r="1699">
          <cell r="A1699">
            <v>860400538</v>
          </cell>
          <cell r="B1699" t="str">
            <v>CO</v>
          </cell>
          <cell r="C1699" t="str">
            <v>RAYCO LTDA RODRIGO ARISTIZABAL</v>
          </cell>
        </row>
        <row r="1700">
          <cell r="A1700">
            <v>860400736</v>
          </cell>
          <cell r="B1700" t="str">
            <v>CO</v>
          </cell>
          <cell r="C1700" t="str">
            <v>COMERCIALIZADORA KIK LTDA</v>
          </cell>
        </row>
        <row r="1701">
          <cell r="A1701">
            <v>860400886</v>
          </cell>
          <cell r="B1701" t="str">
            <v>CO</v>
          </cell>
          <cell r="C1701" t="str">
            <v>TRANSFORMADORES EL WATTIO LTDA</v>
          </cell>
        </row>
        <row r="1702">
          <cell r="A1702">
            <v>860404791</v>
          </cell>
          <cell r="B1702" t="str">
            <v>CO</v>
          </cell>
          <cell r="C1702" t="str">
            <v>MUEBLES Y PLASTICOS SA</v>
          </cell>
        </row>
        <row r="1703">
          <cell r="A1703">
            <v>860451147</v>
          </cell>
          <cell r="B1703" t="str">
            <v>CO</v>
          </cell>
          <cell r="C1703" t="str">
            <v>COOPERATIVA MULTIACTIVA</v>
          </cell>
        </row>
        <row r="1704">
          <cell r="A1704">
            <v>860500914</v>
          </cell>
          <cell r="B1704" t="str">
            <v>CO</v>
          </cell>
          <cell r="C1704" t="str">
            <v>CADENAS &amp; CORREAS SAS</v>
          </cell>
        </row>
        <row r="1705">
          <cell r="A1705">
            <v>860501843</v>
          </cell>
          <cell r="B1705" t="str">
            <v>CO</v>
          </cell>
          <cell r="C1705" t="str">
            <v>FERRETERIA SICAR LTDA</v>
          </cell>
        </row>
        <row r="1706">
          <cell r="A1706">
            <v>860502105</v>
          </cell>
          <cell r="B1706" t="str">
            <v>CO</v>
          </cell>
          <cell r="C1706" t="str">
            <v>IN BOND GEMA S.A.S</v>
          </cell>
        </row>
        <row r="1707">
          <cell r="A1707">
            <v>860502609</v>
          </cell>
          <cell r="B1707" t="str">
            <v>CO</v>
          </cell>
          <cell r="C1707" t="str">
            <v>DHL EXPRESS COLOMBIA LTDA.</v>
          </cell>
        </row>
        <row r="1708">
          <cell r="A1708">
            <v>860503370</v>
          </cell>
          <cell r="B1708" t="str">
            <v>CO</v>
          </cell>
          <cell r="C1708" t="str">
            <v>LEASING DE OCCIDENTE</v>
          </cell>
        </row>
        <row r="1709">
          <cell r="A1709">
            <v>860503560</v>
          </cell>
          <cell r="B1709" t="str">
            <v>CO</v>
          </cell>
          <cell r="C1709" t="str">
            <v>APARCAR LTDA</v>
          </cell>
        </row>
        <row r="1710">
          <cell r="A1710">
            <v>860503617</v>
          </cell>
          <cell r="B1710" t="str">
            <v>CO</v>
          </cell>
          <cell r="C1710" t="str">
            <v>SEGUROS DE VIDA ALFA S.A.</v>
          </cell>
        </row>
        <row r="1711">
          <cell r="A1711">
            <v>860503962</v>
          </cell>
          <cell r="B1711" t="str">
            <v>CO</v>
          </cell>
          <cell r="C1711" t="str">
            <v>FOTOMETAL IMPRESORES LTDA</v>
          </cell>
        </row>
        <row r="1712">
          <cell r="A1712">
            <v>860504410</v>
          </cell>
          <cell r="B1712" t="str">
            <v>CO</v>
          </cell>
          <cell r="C1712" t="str">
            <v>INDUSTRIA CCIAL DE ALIMENTOS NUTRIX</v>
          </cell>
        </row>
        <row r="1713">
          <cell r="A1713">
            <v>860508007</v>
          </cell>
          <cell r="B1713" t="str">
            <v>CO</v>
          </cell>
          <cell r="C1713" t="str">
            <v>DUQUE SALDARRIAGA Y CIA S EN C</v>
          </cell>
        </row>
        <row r="1714">
          <cell r="A1714">
            <v>860508791</v>
          </cell>
          <cell r="B1714" t="str">
            <v>CO</v>
          </cell>
          <cell r="C1714" t="str">
            <v>DONUCOL SA</v>
          </cell>
        </row>
        <row r="1715">
          <cell r="A1715">
            <v>860510863</v>
          </cell>
          <cell r="B1715" t="str">
            <v>CO</v>
          </cell>
          <cell r="C1715" t="str">
            <v>INVERLEOKA S.A.</v>
          </cell>
        </row>
        <row r="1716">
          <cell r="A1716">
            <v>860511071</v>
          </cell>
          <cell r="B1716" t="str">
            <v>CO</v>
          </cell>
          <cell r="C1716" t="str">
            <v>FONDO ROTATORIO DEL MINISTERIO DE</v>
          </cell>
        </row>
        <row r="1717">
          <cell r="A1717">
            <v>860511571</v>
          </cell>
          <cell r="B1717" t="str">
            <v>CO</v>
          </cell>
          <cell r="C1717" t="str">
            <v>ELECTRICOS BOGOTA LTDA</v>
          </cell>
        </row>
        <row r="1718">
          <cell r="A1718">
            <v>860511772</v>
          </cell>
          <cell r="B1718" t="str">
            <v>CO</v>
          </cell>
          <cell r="C1718" t="str">
            <v>INDUSTRIAS MECANICAS GAG LTDA</v>
          </cell>
        </row>
        <row r="1719">
          <cell r="A1719">
            <v>860512330</v>
          </cell>
          <cell r="B1719" t="str">
            <v>CO</v>
          </cell>
          <cell r="C1719" t="str">
            <v>SERVIENTREGA S.A.</v>
          </cell>
        </row>
        <row r="1720">
          <cell r="A1720">
            <v>860515204</v>
          </cell>
          <cell r="B1720" t="str">
            <v>CO</v>
          </cell>
          <cell r="C1720" t="str">
            <v>PESQUERA JARAMILLO LTDA</v>
          </cell>
        </row>
        <row r="1721">
          <cell r="A1721">
            <v>860516041</v>
          </cell>
          <cell r="B1721" t="str">
            <v>CO</v>
          </cell>
          <cell r="C1721" t="str">
            <v>ASECONES - ASESORIA EN</v>
          </cell>
        </row>
        <row r="1722">
          <cell r="A1722">
            <v>860516386</v>
          </cell>
          <cell r="B1722" t="str">
            <v>CO</v>
          </cell>
          <cell r="C1722" t="str">
            <v>INPROYEC INGENIEROS S A</v>
          </cell>
        </row>
        <row r="1723">
          <cell r="A1723">
            <v>860517647</v>
          </cell>
          <cell r="B1723" t="str">
            <v>CO</v>
          </cell>
          <cell r="C1723" t="str">
            <v>CLUB U. MANUELA BELTRAN</v>
          </cell>
        </row>
        <row r="1724">
          <cell r="A1724">
            <v>860519235</v>
          </cell>
          <cell r="B1724" t="str">
            <v>CO</v>
          </cell>
          <cell r="C1724" t="str">
            <v>TALLERES AUTORIZADOS SA</v>
          </cell>
        </row>
        <row r="1725">
          <cell r="A1725">
            <v>860519414</v>
          </cell>
          <cell r="B1725" t="str">
            <v>CO</v>
          </cell>
          <cell r="C1725" t="str">
            <v>SERVICIOS CONTINENTAL LTDA</v>
          </cell>
        </row>
        <row r="1726">
          <cell r="A1726">
            <v>860519822</v>
          </cell>
          <cell r="B1726" t="str">
            <v>CO</v>
          </cell>
          <cell r="C1726" t="str">
            <v>AMPARO BARRENECHE ARIAS CENTRAL DE</v>
          </cell>
        </row>
        <row r="1727">
          <cell r="A1727">
            <v>860519967</v>
          </cell>
          <cell r="B1727" t="str">
            <v>CO</v>
          </cell>
          <cell r="C1727" t="str">
            <v>AUTO CENTRO SANTANA S.A.S</v>
          </cell>
        </row>
        <row r="1728">
          <cell r="A1728">
            <v>860522611</v>
          </cell>
          <cell r="B1728" t="str">
            <v>CO</v>
          </cell>
          <cell r="C1728" t="str">
            <v>ESTACION DE SERVICIO EL POLO LTDA</v>
          </cell>
        </row>
        <row r="1729">
          <cell r="A1729">
            <v>860524654</v>
          </cell>
          <cell r="B1729" t="str">
            <v>CO</v>
          </cell>
          <cell r="C1729" t="str">
            <v>ASEGURADORA SOLIDARIA DE COLOMBIA</v>
          </cell>
        </row>
        <row r="1730">
          <cell r="A1730">
            <v>860525814</v>
          </cell>
          <cell r="B1730" t="str">
            <v>CO</v>
          </cell>
          <cell r="C1730" t="str">
            <v>TEXTILES MIRATEX SAS</v>
          </cell>
        </row>
        <row r="1731">
          <cell r="A1731">
            <v>860526660</v>
          </cell>
          <cell r="B1731" t="str">
            <v>CO</v>
          </cell>
          <cell r="C1731" t="str">
            <v>HELM CORREDOR DE SEGUROS S.A.</v>
          </cell>
        </row>
        <row r="1732">
          <cell r="A1732">
            <v>860528396</v>
          </cell>
          <cell r="B1732" t="str">
            <v>CO</v>
          </cell>
          <cell r="C1732" t="str">
            <v>COMERCIAL PAPELERA LTDA</v>
          </cell>
        </row>
        <row r="1733">
          <cell r="A1733">
            <v>860528792</v>
          </cell>
          <cell r="B1733" t="str">
            <v>CO</v>
          </cell>
          <cell r="C1733" t="str">
            <v>SATEL IMPORTADORES DE</v>
          </cell>
        </row>
        <row r="1734">
          <cell r="A1734">
            <v>860529876</v>
          </cell>
          <cell r="B1734" t="str">
            <v>CO</v>
          </cell>
          <cell r="C1734" t="str">
            <v>SERVICIOS DAZA SA</v>
          </cell>
        </row>
        <row r="1735">
          <cell r="A1735">
            <v>860530357</v>
          </cell>
          <cell r="B1735" t="str">
            <v>CO</v>
          </cell>
          <cell r="C1735" t="str">
            <v>TECVAL SAS</v>
          </cell>
        </row>
        <row r="1736">
          <cell r="A1736">
            <v>860530386</v>
          </cell>
          <cell r="B1736" t="str">
            <v>CO</v>
          </cell>
          <cell r="C1736" t="str">
            <v>PROVEEDORES PARA SISTEMAS Y</v>
          </cell>
        </row>
        <row r="1737">
          <cell r="A1737">
            <v>860530559</v>
          </cell>
          <cell r="B1737" t="str">
            <v>CO</v>
          </cell>
          <cell r="C1737" t="str">
            <v>PARQUEADERO TEQUENDAMA LTDA</v>
          </cell>
        </row>
        <row r="1738">
          <cell r="A1738">
            <v>860531287</v>
          </cell>
          <cell r="B1738" t="str">
            <v>CO</v>
          </cell>
          <cell r="C1738" t="str">
            <v>MELEXA SA</v>
          </cell>
        </row>
        <row r="1739">
          <cell r="A1739">
            <v>860531851</v>
          </cell>
          <cell r="B1739" t="str">
            <v>CO</v>
          </cell>
          <cell r="C1739" t="str">
            <v>FUNDACION ALMA</v>
          </cell>
        </row>
        <row r="1740">
          <cell r="A1740">
            <v>860532478</v>
          </cell>
          <cell r="B1740" t="str">
            <v>CO</v>
          </cell>
          <cell r="C1740" t="str">
            <v>MARTINEZ SANCHEZ SAS</v>
          </cell>
        </row>
        <row r="1741">
          <cell r="A1741">
            <v>860533413</v>
          </cell>
          <cell r="B1741" t="str">
            <v>CO</v>
          </cell>
          <cell r="C1741" t="str">
            <v>INVERSIONES EL CORRAL LTDA</v>
          </cell>
        </row>
        <row r="1742">
          <cell r="A1742">
            <v>860533452</v>
          </cell>
          <cell r="B1742" t="str">
            <v>CO</v>
          </cell>
          <cell r="C1742" t="str">
            <v>CORPORACION FONDO DE EMPLEADOS</v>
          </cell>
        </row>
        <row r="1743">
          <cell r="A1743">
            <v>860534045</v>
          </cell>
          <cell r="B1743" t="str">
            <v>CO</v>
          </cell>
          <cell r="C1743" t="str">
            <v>ASEPSIS PRODUCTS DE COLOMBIA LTDA</v>
          </cell>
        </row>
        <row r="1744">
          <cell r="A1744">
            <v>860534221</v>
          </cell>
          <cell r="B1744" t="str">
            <v>CO</v>
          </cell>
          <cell r="C1744" t="str">
            <v>PAN PA YA LTDA</v>
          </cell>
        </row>
        <row r="1745">
          <cell r="A1745">
            <v>860534357</v>
          </cell>
          <cell r="B1745" t="str">
            <v>CO</v>
          </cell>
          <cell r="C1745" t="str">
            <v>PROPIETARIOS DE CAMIONES S.A</v>
          </cell>
        </row>
        <row r="1746">
          <cell r="A1746">
            <v>860534851</v>
          </cell>
          <cell r="B1746" t="str">
            <v>CO</v>
          </cell>
          <cell r="C1746" t="str">
            <v>VIMECO INGENIEROS S A S</v>
          </cell>
        </row>
        <row r="1747">
          <cell r="A1747">
            <v>890100531</v>
          </cell>
          <cell r="B1747" t="str">
            <v>CO</v>
          </cell>
          <cell r="C1747" t="str">
            <v>BRASILIA S A</v>
          </cell>
        </row>
        <row r="1748">
          <cell r="A1748">
            <v>890100577</v>
          </cell>
          <cell r="B1748" t="str">
            <v>CO</v>
          </cell>
          <cell r="C1748" t="str">
            <v>AEROVIAS DEL CONTINENTE AMERICANO</v>
          </cell>
        </row>
        <row r="1749">
          <cell r="A1749">
            <v>890100677</v>
          </cell>
          <cell r="B1749" t="str">
            <v>CO</v>
          </cell>
          <cell r="C1749" t="str">
            <v>AEROLINEAS DEL CONTINENTE AMERICANO</v>
          </cell>
        </row>
        <row r="1750">
          <cell r="A1750">
            <v>890106278</v>
          </cell>
          <cell r="B1750" t="str">
            <v>CO</v>
          </cell>
          <cell r="C1750" t="str">
            <v>CASAVAL - CASA DE LA VALVULA SA</v>
          </cell>
        </row>
        <row r="1751">
          <cell r="A1751">
            <v>890107487</v>
          </cell>
          <cell r="B1751" t="str">
            <v>CO</v>
          </cell>
          <cell r="C1751" t="str">
            <v>OLIMPICA SA</v>
          </cell>
        </row>
        <row r="1752">
          <cell r="A1752">
            <v>890111742</v>
          </cell>
          <cell r="B1752" t="str">
            <v>CO</v>
          </cell>
          <cell r="C1752" t="str">
            <v>ANCLAJES DE LA COSTA LTDA</v>
          </cell>
        </row>
        <row r="1753">
          <cell r="A1753">
            <v>890114778</v>
          </cell>
          <cell r="B1753" t="str">
            <v>CO</v>
          </cell>
          <cell r="C1753" t="str">
            <v>OPERACIONES COMERCIALES TH</v>
          </cell>
        </row>
        <row r="1754">
          <cell r="A1754">
            <v>890200218</v>
          </cell>
          <cell r="B1754" t="str">
            <v>CO</v>
          </cell>
          <cell r="C1754" t="str">
            <v>COTAXI LTDA</v>
          </cell>
        </row>
        <row r="1755">
          <cell r="A1755">
            <v>890200756</v>
          </cell>
          <cell r="B1755" t="str">
            <v>CO</v>
          </cell>
          <cell r="C1755" t="str">
            <v>BANCO PICHINCHA</v>
          </cell>
        </row>
        <row r="1756">
          <cell r="A1756">
            <v>890200928</v>
          </cell>
          <cell r="B1756" t="str">
            <v>CO</v>
          </cell>
          <cell r="C1756" t="str">
            <v>COPETRAN LTDA</v>
          </cell>
        </row>
        <row r="1757">
          <cell r="A1757">
            <v>890201230</v>
          </cell>
          <cell r="B1757" t="str">
            <v>CO</v>
          </cell>
          <cell r="C1757" t="str">
            <v>ELECTRIFICADORA DE SANTANDER SA ESP</v>
          </cell>
        </row>
        <row r="1758">
          <cell r="A1758">
            <v>890201900</v>
          </cell>
          <cell r="B1758" t="str">
            <v>CO</v>
          </cell>
          <cell r="C1758" t="str">
            <v>MUNICIPIO DE BARRANCABERMEJA</v>
          </cell>
        </row>
        <row r="1759">
          <cell r="A1759">
            <v>890208395</v>
          </cell>
          <cell r="B1759" t="str">
            <v>CO</v>
          </cell>
          <cell r="C1759" t="str">
            <v>EDS CENTROABASTOS</v>
          </cell>
        </row>
        <row r="1760">
          <cell r="A1760">
            <v>890208788</v>
          </cell>
          <cell r="B1760" t="str">
            <v>CO</v>
          </cell>
          <cell r="C1760" t="str">
            <v>UNIDROGAS SA</v>
          </cell>
        </row>
        <row r="1761">
          <cell r="A1761">
            <v>890210534</v>
          </cell>
          <cell r="B1761" t="str">
            <v>CO</v>
          </cell>
          <cell r="C1761" t="str">
            <v>TRIENERGY SA</v>
          </cell>
        </row>
        <row r="1762">
          <cell r="A1762">
            <v>890270275</v>
          </cell>
          <cell r="B1762" t="str">
            <v>CO</v>
          </cell>
          <cell r="C1762" t="str">
            <v>CAJA DE COMPENSACION FAMILIAR</v>
          </cell>
        </row>
        <row r="1763">
          <cell r="A1763">
            <v>890270414</v>
          </cell>
          <cell r="B1763" t="str">
            <v>CO</v>
          </cell>
          <cell r="C1763" t="str">
            <v>COOPERATIVA DE TRANSPORTES FLUVIALE</v>
          </cell>
        </row>
        <row r="1764">
          <cell r="A1764">
            <v>890300279</v>
          </cell>
          <cell r="B1764" t="str">
            <v>CO</v>
          </cell>
          <cell r="C1764" t="str">
            <v>BANCO DE OCCIDENTE</v>
          </cell>
        </row>
        <row r="1765">
          <cell r="A1765">
            <v>890300440</v>
          </cell>
          <cell r="B1765" t="str">
            <v>CO</v>
          </cell>
          <cell r="C1765" t="str">
            <v>CASTILLA AGRICOLA SA</v>
          </cell>
        </row>
        <row r="1766">
          <cell r="A1766">
            <v>890300625</v>
          </cell>
          <cell r="B1766" t="str">
            <v>CO</v>
          </cell>
          <cell r="C1766" t="str">
            <v>COOP MEDICA DEL VALLE Y DE</v>
          </cell>
        </row>
        <row r="1767">
          <cell r="A1767">
            <v>890304099</v>
          </cell>
          <cell r="B1767" t="str">
            <v>CO</v>
          </cell>
          <cell r="C1767" t="str">
            <v>HOTELES ESTELAR SA</v>
          </cell>
        </row>
        <row r="1768">
          <cell r="A1768">
            <v>890311323</v>
          </cell>
          <cell r="B1768" t="str">
            <v>CO</v>
          </cell>
          <cell r="C1768" t="str">
            <v>BENAR Y CIA S.A.S</v>
          </cell>
        </row>
        <row r="1769">
          <cell r="A1769">
            <v>890311875</v>
          </cell>
          <cell r="B1769" t="str">
            <v>CO</v>
          </cell>
          <cell r="C1769" t="str">
            <v>SCHNEIDER ELECTRIC</v>
          </cell>
        </row>
        <row r="1770">
          <cell r="A1770">
            <v>890312759</v>
          </cell>
          <cell r="B1770" t="str">
            <v>CO</v>
          </cell>
          <cell r="C1770" t="str">
            <v>BELTRAN &amp; CIA. LIMITADA</v>
          </cell>
        </row>
        <row r="1771">
          <cell r="A1771">
            <v>890315310</v>
          </cell>
          <cell r="B1771" t="str">
            <v>CO</v>
          </cell>
          <cell r="C1771" t="str">
            <v>SINCRON DISEÑO ELECTRONICO SAS</v>
          </cell>
        </row>
        <row r="1772">
          <cell r="A1772">
            <v>890316660</v>
          </cell>
          <cell r="B1772" t="str">
            <v>CO</v>
          </cell>
          <cell r="C1772" t="str">
            <v>VALENCIA &amp; SOTO</v>
          </cell>
        </row>
        <row r="1773">
          <cell r="A1773">
            <v>890321924</v>
          </cell>
          <cell r="B1773" t="str">
            <v>CO</v>
          </cell>
          <cell r="C1773" t="str">
            <v>CINTANDINA SA</v>
          </cell>
        </row>
        <row r="1774">
          <cell r="A1774">
            <v>890333030</v>
          </cell>
          <cell r="B1774" t="str">
            <v>CO</v>
          </cell>
          <cell r="C1774" t="str">
            <v>VELASQUEZ INGENIEROS ASOCIADOS SAS</v>
          </cell>
        </row>
        <row r="1775">
          <cell r="A1775">
            <v>890403311</v>
          </cell>
          <cell r="B1775" t="str">
            <v>CO</v>
          </cell>
          <cell r="C1775" t="str">
            <v>ELECTRICA SA</v>
          </cell>
        </row>
        <row r="1776">
          <cell r="A1776">
            <v>890406136</v>
          </cell>
          <cell r="B1776" t="str">
            <v>CO</v>
          </cell>
          <cell r="C1776" t="str">
            <v>ANTONIO SPATH &amp; CIA SA</v>
          </cell>
        </row>
        <row r="1777">
          <cell r="A1777">
            <v>890406840</v>
          </cell>
          <cell r="B1777" t="str">
            <v>CO</v>
          </cell>
          <cell r="C1777" t="str">
            <v>TALLERES UNIDOS LTDA</v>
          </cell>
        </row>
        <row r="1778">
          <cell r="A1778">
            <v>890480110</v>
          </cell>
          <cell r="B1778" t="str">
            <v>CO</v>
          </cell>
          <cell r="C1778" t="str">
            <v>COMFAMILIAR DE CARTAGENA</v>
          </cell>
        </row>
        <row r="1779">
          <cell r="A1779">
            <v>890504655</v>
          </cell>
          <cell r="B1779" t="str">
            <v>CO</v>
          </cell>
          <cell r="C1779" t="str">
            <v>INTEGRAL DE SERVICIOS TECNICOS</v>
          </cell>
        </row>
        <row r="1780">
          <cell r="A1780">
            <v>890700189</v>
          </cell>
          <cell r="B1780" t="str">
            <v>CO</v>
          </cell>
          <cell r="C1780" t="str">
            <v>COOP DE TRANSPORTES VELOTAX LTDA</v>
          </cell>
        </row>
        <row r="1781">
          <cell r="A1781">
            <v>890704196</v>
          </cell>
          <cell r="B1781" t="str">
            <v>CO</v>
          </cell>
          <cell r="C1781" t="str">
            <v>AEROVIAS DE INTEGRACION</v>
          </cell>
        </row>
        <row r="1782">
          <cell r="A1782">
            <v>890800788</v>
          </cell>
          <cell r="B1782" t="str">
            <v>CO</v>
          </cell>
          <cell r="C1782" t="str">
            <v>SUMATEC SA</v>
          </cell>
        </row>
        <row r="1783">
          <cell r="A1783">
            <v>890900076</v>
          </cell>
          <cell r="B1783" t="str">
            <v>CO</v>
          </cell>
          <cell r="C1783" t="str">
            <v>CINE COLOMBIA SA</v>
          </cell>
        </row>
        <row r="1784">
          <cell r="A1784">
            <v>890900608</v>
          </cell>
          <cell r="B1784" t="str">
            <v>CO</v>
          </cell>
          <cell r="C1784" t="str">
            <v>ALMACENES EXITO SA</v>
          </cell>
        </row>
        <row r="1785">
          <cell r="A1785">
            <v>890900943</v>
          </cell>
          <cell r="B1785" t="str">
            <v>CO</v>
          </cell>
          <cell r="C1785" t="str">
            <v>ALKOSTO</v>
          </cell>
        </row>
        <row r="1786">
          <cell r="A1786">
            <v>890901821</v>
          </cell>
          <cell r="B1786" t="str">
            <v>CO</v>
          </cell>
          <cell r="C1786" t="str">
            <v>COMPAÑIA DE SERVICIOS SA</v>
          </cell>
        </row>
        <row r="1787">
          <cell r="A1787">
            <v>890903407</v>
          </cell>
          <cell r="B1787" t="str">
            <v>CO</v>
          </cell>
          <cell r="C1787" t="str">
            <v>SEGUROS GENERALES SURAMERICANA SA</v>
          </cell>
        </row>
        <row r="1788">
          <cell r="A1788">
            <v>890903475</v>
          </cell>
          <cell r="B1788" t="str">
            <v>CO</v>
          </cell>
          <cell r="C1788" t="str">
            <v>EQUIPOS GLEASON SA</v>
          </cell>
        </row>
        <row r="1789">
          <cell r="A1789">
            <v>890903937</v>
          </cell>
          <cell r="B1789" t="str">
            <v>CO</v>
          </cell>
          <cell r="C1789" t="str">
            <v>BANCO CORPBANCA COLOMBIA S.A.</v>
          </cell>
        </row>
        <row r="1790">
          <cell r="A1790">
            <v>890903938</v>
          </cell>
          <cell r="B1790" t="str">
            <v>CO</v>
          </cell>
          <cell r="C1790" t="str">
            <v>BANCOLOMBIA</v>
          </cell>
        </row>
        <row r="1791">
          <cell r="A1791">
            <v>890911431</v>
          </cell>
          <cell r="B1791" t="str">
            <v>CO</v>
          </cell>
          <cell r="C1791" t="str">
            <v>CONINSA RAMON H</v>
          </cell>
        </row>
        <row r="1792">
          <cell r="A1792">
            <v>890914711</v>
          </cell>
          <cell r="B1792" t="str">
            <v>CO</v>
          </cell>
          <cell r="C1792" t="str">
            <v>SEALCO S.A</v>
          </cell>
        </row>
        <row r="1793">
          <cell r="A1793">
            <v>890921335</v>
          </cell>
          <cell r="B1793" t="str">
            <v>CO</v>
          </cell>
          <cell r="C1793" t="str">
            <v>LAUMAYER COLOMBIANA</v>
          </cell>
        </row>
        <row r="1794">
          <cell r="A1794">
            <v>890927034</v>
          </cell>
          <cell r="B1794" t="str">
            <v>CO</v>
          </cell>
          <cell r="C1794" t="str">
            <v>COLTEFINANCIERASA</v>
          </cell>
        </row>
        <row r="1795">
          <cell r="A1795">
            <v>890942047</v>
          </cell>
          <cell r="B1795" t="str">
            <v>CO</v>
          </cell>
          <cell r="C1795" t="str">
            <v>IMPORTADORA DE JAPON SA</v>
          </cell>
        </row>
        <row r="1796">
          <cell r="A1796">
            <v>891100024</v>
          </cell>
          <cell r="B1796" t="str">
            <v>CO</v>
          </cell>
          <cell r="C1796" t="str">
            <v>ALMACENES YEP SA</v>
          </cell>
        </row>
        <row r="1797">
          <cell r="A1797">
            <v>891101577</v>
          </cell>
          <cell r="B1797" t="str">
            <v>CO</v>
          </cell>
          <cell r="C1797" t="str">
            <v>ALCANOS DE COLOMBIA SA ESP</v>
          </cell>
        </row>
        <row r="1798">
          <cell r="A1798">
            <v>891102691</v>
          </cell>
          <cell r="B1798" t="str">
            <v>CO</v>
          </cell>
          <cell r="C1798" t="str">
            <v>SURTIELECTRICOS LTDA</v>
          </cell>
        </row>
        <row r="1799">
          <cell r="A1799">
            <v>891180176</v>
          </cell>
          <cell r="B1799" t="str">
            <v>CO</v>
          </cell>
          <cell r="C1799" t="str">
            <v>MUNICIPIO DE GIGANTE</v>
          </cell>
        </row>
        <row r="1800">
          <cell r="A1800">
            <v>891190000</v>
          </cell>
          <cell r="B1800" t="str">
            <v>CO</v>
          </cell>
          <cell r="C1800" t="str">
            <v>COOTRANS GANADERA LTDA</v>
          </cell>
        </row>
        <row r="1801">
          <cell r="A1801">
            <v>891408584</v>
          </cell>
          <cell r="B1801" t="str">
            <v>CO</v>
          </cell>
          <cell r="C1801" t="str">
            <v>FRISBY SA</v>
          </cell>
        </row>
        <row r="1802">
          <cell r="A1802">
            <v>891700037</v>
          </cell>
          <cell r="B1802" t="str">
            <v>CO</v>
          </cell>
          <cell r="C1802" t="str">
            <v>MAPFRE SEGUROS GENERALES</v>
          </cell>
        </row>
        <row r="1803">
          <cell r="A1803">
            <v>891702356</v>
          </cell>
          <cell r="B1803" t="str">
            <v>CO</v>
          </cell>
          <cell r="C1803" t="str">
            <v>LA RIVIERA GIANNONE PELAEZ LTDA</v>
          </cell>
        </row>
        <row r="1804">
          <cell r="A1804">
            <v>891800045</v>
          </cell>
          <cell r="B1804" t="str">
            <v>CO</v>
          </cell>
          <cell r="C1804" t="str">
            <v>COOPERATIVA DE TRANSPORTADORES</v>
          </cell>
        </row>
        <row r="1805">
          <cell r="A1805">
            <v>891800062</v>
          </cell>
          <cell r="B1805" t="str">
            <v>CO</v>
          </cell>
          <cell r="C1805" t="str">
            <v>EL RAPIDO DUITAMA LTDA</v>
          </cell>
        </row>
        <row r="1806">
          <cell r="A1806">
            <v>891800075</v>
          </cell>
          <cell r="B1806" t="str">
            <v>CO</v>
          </cell>
          <cell r="C1806" t="str">
            <v>FLOTA SUGAMUXI SA</v>
          </cell>
        </row>
        <row r="1807">
          <cell r="A1807">
            <v>891800219</v>
          </cell>
          <cell r="B1807" t="str">
            <v>CO</v>
          </cell>
          <cell r="C1807" t="str">
            <v>EMPRESA DE ENERGIA DE BOYACA SA ESP</v>
          </cell>
        </row>
        <row r="1808">
          <cell r="A1808">
            <v>891800466</v>
          </cell>
          <cell r="B1808" t="str">
            <v>CO</v>
          </cell>
          <cell r="C1808" t="str">
            <v>MUNICIIO DE PUERTO BOYACA</v>
          </cell>
        </row>
        <row r="1809">
          <cell r="A1809">
            <v>891855518</v>
          </cell>
          <cell r="B1809" t="str">
            <v>CO</v>
          </cell>
          <cell r="C1809" t="str">
            <v>DIOCESIS DE YOPAL</v>
          </cell>
        </row>
        <row r="1810">
          <cell r="A1810">
            <v>891855534</v>
          </cell>
          <cell r="B1810" t="str">
            <v>CO</v>
          </cell>
          <cell r="C1810" t="str">
            <v>COOCATRANS LTDA</v>
          </cell>
        </row>
        <row r="1811">
          <cell r="A1811">
            <v>891856718</v>
          </cell>
          <cell r="B1811" t="str">
            <v>CO</v>
          </cell>
          <cell r="C1811" t="str">
            <v>DUFLO SA</v>
          </cell>
        </row>
        <row r="1812">
          <cell r="A1812">
            <v>891857937</v>
          </cell>
          <cell r="B1812" t="str">
            <v>CO</v>
          </cell>
          <cell r="C1812" t="str">
            <v>BRIO</v>
          </cell>
        </row>
        <row r="1813">
          <cell r="A1813">
            <v>892000113</v>
          </cell>
          <cell r="B1813" t="str">
            <v>CO</v>
          </cell>
          <cell r="C1813" t="str">
            <v>TAX META SA</v>
          </cell>
        </row>
        <row r="1814">
          <cell r="A1814">
            <v>892000146</v>
          </cell>
          <cell r="B1814" t="str">
            <v>CO</v>
          </cell>
          <cell r="C1814" t="str">
            <v>COFREM CAJA DE COMPENSACION</v>
          </cell>
        </row>
        <row r="1815">
          <cell r="A1815">
            <v>892000565</v>
          </cell>
          <cell r="B1815" t="str">
            <v>CO</v>
          </cell>
          <cell r="C1815" t="str">
            <v>AUTOLLANOS SA</v>
          </cell>
        </row>
        <row r="1816">
          <cell r="A1816">
            <v>892000625</v>
          </cell>
          <cell r="B1816" t="str">
            <v>CO</v>
          </cell>
          <cell r="C1816" t="str">
            <v>ARIMENA SA</v>
          </cell>
        </row>
        <row r="1817">
          <cell r="A1817">
            <v>892099421</v>
          </cell>
          <cell r="B1817" t="str">
            <v>CO</v>
          </cell>
          <cell r="C1817" t="str">
            <v>COOPERATIVA DE TRANSPORTADORES</v>
          </cell>
        </row>
        <row r="1818">
          <cell r="A1818">
            <v>892300678</v>
          </cell>
          <cell r="B1818" t="str">
            <v>CO</v>
          </cell>
          <cell r="C1818" t="str">
            <v>ETICOS SERRANO GOMEZ LTDA</v>
          </cell>
        </row>
        <row r="1819">
          <cell r="A1819">
            <v>899999007</v>
          </cell>
          <cell r="B1819" t="str">
            <v>CO</v>
          </cell>
          <cell r="C1819" t="str">
            <v>SUPERINTENDECIA DE NOTARIADO</v>
          </cell>
        </row>
        <row r="1820">
          <cell r="A1820">
            <v>899999034</v>
          </cell>
          <cell r="B1820" t="str">
            <v>CO</v>
          </cell>
          <cell r="C1820" t="str">
            <v>SENA</v>
          </cell>
        </row>
        <row r="1821">
          <cell r="A1821">
            <v>899999042</v>
          </cell>
          <cell r="B1821" t="str">
            <v>CO</v>
          </cell>
          <cell r="C1821" t="str">
            <v>MINISTERIO DE RELACIONES EXTERIORES</v>
          </cell>
        </row>
        <row r="1822">
          <cell r="A1822">
            <v>899999061</v>
          </cell>
          <cell r="B1822" t="str">
            <v>CO</v>
          </cell>
          <cell r="C1822" t="str">
            <v>SECRETARIA DISTRITAL DE HACIENDA</v>
          </cell>
        </row>
        <row r="1823">
          <cell r="A1823">
            <v>899999086</v>
          </cell>
          <cell r="B1823" t="str">
            <v>CO</v>
          </cell>
          <cell r="C1823" t="str">
            <v>SUPERINTENDENCIA DE SOCIEDADES</v>
          </cell>
        </row>
        <row r="1824">
          <cell r="A1824">
            <v>899999094</v>
          </cell>
          <cell r="B1824" t="str">
            <v>CO</v>
          </cell>
          <cell r="C1824" t="str">
            <v>ACUEDUCTO Y ALCANTARILLADO</v>
          </cell>
        </row>
        <row r="1825">
          <cell r="A1825">
            <v>899999114</v>
          </cell>
          <cell r="B1825" t="str">
            <v>CO</v>
          </cell>
          <cell r="C1825" t="str">
            <v>DEPARTAMENTO DE CUNDINAMARCA</v>
          </cell>
        </row>
        <row r="1826">
          <cell r="A1826">
            <v>899999115</v>
          </cell>
          <cell r="B1826" t="str">
            <v>CO</v>
          </cell>
          <cell r="C1826" t="str">
            <v>EMPRESA DE TELECOMUNICACIONES</v>
          </cell>
        </row>
        <row r="1827">
          <cell r="A1827">
            <v>899999239</v>
          </cell>
          <cell r="B1827" t="str">
            <v>CO</v>
          </cell>
          <cell r="C1827" t="str">
            <v>INSTITUTO COLOMBIANO DE</v>
          </cell>
        </row>
        <row r="1828">
          <cell r="A1828">
            <v>899999428</v>
          </cell>
          <cell r="B1828" t="str">
            <v>CO</v>
          </cell>
          <cell r="C1828" t="str">
            <v>MUNICIPIO DE TOCANCIPA</v>
          </cell>
        </row>
        <row r="1829">
          <cell r="A1829">
            <v>900001732</v>
          </cell>
          <cell r="B1829" t="str">
            <v>CO</v>
          </cell>
          <cell r="C1829" t="str">
            <v>UNICENTRO DE OCCIDENTE</v>
          </cell>
        </row>
        <row r="1830">
          <cell r="A1830">
            <v>900007834</v>
          </cell>
          <cell r="B1830" t="str">
            <v>CO</v>
          </cell>
          <cell r="C1830" t="str">
            <v>MORAFER REPRESENTACIONES LTDA</v>
          </cell>
        </row>
        <row r="1831">
          <cell r="A1831">
            <v>900009507</v>
          </cell>
          <cell r="B1831" t="str">
            <v>CO</v>
          </cell>
          <cell r="C1831" t="str">
            <v>EDS BRIO COLOMBIA</v>
          </cell>
        </row>
        <row r="1832">
          <cell r="A1832">
            <v>900011416</v>
          </cell>
          <cell r="B1832" t="str">
            <v>CO</v>
          </cell>
          <cell r="C1832" t="str">
            <v>COMERCIALIZADORA MI LTDA</v>
          </cell>
        </row>
        <row r="1833">
          <cell r="A1833">
            <v>900013022</v>
          </cell>
          <cell r="B1833" t="str">
            <v>CO</v>
          </cell>
          <cell r="C1833" t="str">
            <v>GESIS CONEXIONES ELECTRICAS LTDA</v>
          </cell>
        </row>
        <row r="1834">
          <cell r="A1834">
            <v>900013167</v>
          </cell>
          <cell r="B1834" t="str">
            <v>CO</v>
          </cell>
          <cell r="C1834" t="str">
            <v>DIAZ Y RESTREPO SAS</v>
          </cell>
        </row>
        <row r="1835">
          <cell r="A1835">
            <v>900014039</v>
          </cell>
          <cell r="B1835" t="str">
            <v>CO</v>
          </cell>
          <cell r="C1835" t="str">
            <v>CAJAS Y CORRUGADOS DE BOGOTA E U</v>
          </cell>
        </row>
        <row r="1836">
          <cell r="A1836">
            <v>900015167</v>
          </cell>
          <cell r="B1836" t="str">
            <v>CO</v>
          </cell>
          <cell r="C1836" t="str">
            <v>ACONDICLIMA INGENIERIA Y</v>
          </cell>
        </row>
        <row r="1837">
          <cell r="A1837">
            <v>900016780</v>
          </cell>
          <cell r="B1837" t="str">
            <v>CO</v>
          </cell>
          <cell r="C1837" t="str">
            <v>INVERSIONES LEHAL SA</v>
          </cell>
        </row>
        <row r="1838">
          <cell r="A1838">
            <v>900016856</v>
          </cell>
          <cell r="B1838" t="str">
            <v>CO</v>
          </cell>
          <cell r="C1838" t="str">
            <v>DISTRIPAN PASTELERIAS LTDA</v>
          </cell>
        </row>
        <row r="1839">
          <cell r="A1839">
            <v>900017447</v>
          </cell>
          <cell r="B1839" t="str">
            <v>CO</v>
          </cell>
          <cell r="C1839" t="str">
            <v>FALABELLA</v>
          </cell>
        </row>
        <row r="1840">
          <cell r="A1840">
            <v>900021737</v>
          </cell>
          <cell r="B1840" t="str">
            <v>CO</v>
          </cell>
          <cell r="C1840" t="str">
            <v>AGUAS DE LA SABANA SA ESP</v>
          </cell>
        </row>
        <row r="1841">
          <cell r="A1841">
            <v>900024278</v>
          </cell>
          <cell r="B1841" t="str">
            <v>CO</v>
          </cell>
          <cell r="C1841" t="str">
            <v>ESTACIONES DE SERVICIO COLOMBIANAS</v>
          </cell>
        </row>
        <row r="1842">
          <cell r="A1842">
            <v>900025010</v>
          </cell>
          <cell r="B1842" t="str">
            <v>CO</v>
          </cell>
          <cell r="C1842" t="str">
            <v>INVERSIONES PRIMERA LTDA</v>
          </cell>
        </row>
        <row r="1843">
          <cell r="A1843">
            <v>900026174</v>
          </cell>
          <cell r="B1843" t="str">
            <v>CO</v>
          </cell>
          <cell r="C1843" t="str">
            <v>STANDARD ENERGY COMPANY SA</v>
          </cell>
        </row>
        <row r="1844">
          <cell r="A1844">
            <v>900026687</v>
          </cell>
          <cell r="B1844" t="str">
            <v>CO</v>
          </cell>
          <cell r="C1844" t="str">
            <v>TERMYPARQ LIMITADA</v>
          </cell>
        </row>
        <row r="1845">
          <cell r="A1845">
            <v>900026938</v>
          </cell>
          <cell r="B1845" t="str">
            <v>CO</v>
          </cell>
          <cell r="C1845" t="str">
            <v>COLOMBIAN MOUNTAIN COFFEE C. I S.A.</v>
          </cell>
        </row>
        <row r="1846">
          <cell r="A1846">
            <v>900028992</v>
          </cell>
          <cell r="B1846" t="str">
            <v>CO</v>
          </cell>
          <cell r="C1846" t="str">
            <v>NASATEC LTDA</v>
          </cell>
        </row>
        <row r="1847">
          <cell r="A1847">
            <v>900030882</v>
          </cell>
          <cell r="B1847" t="str">
            <v>CO</v>
          </cell>
          <cell r="C1847" t="str">
            <v>MACAIG SAS</v>
          </cell>
        </row>
        <row r="1848">
          <cell r="A1848">
            <v>900040346</v>
          </cell>
          <cell r="B1848" t="str">
            <v>CO</v>
          </cell>
          <cell r="C1848" t="str">
            <v>HOSTDIMECOMCO SAS</v>
          </cell>
        </row>
        <row r="1849">
          <cell r="A1849">
            <v>900042204</v>
          </cell>
          <cell r="B1849" t="str">
            <v>CO</v>
          </cell>
          <cell r="C1849" t="str">
            <v>WIMING SAS</v>
          </cell>
        </row>
        <row r="1850">
          <cell r="A1850">
            <v>900045328</v>
          </cell>
          <cell r="B1850" t="str">
            <v>CO</v>
          </cell>
          <cell r="C1850" t="str">
            <v>MOVILGAS LTDA</v>
          </cell>
        </row>
        <row r="1851">
          <cell r="A1851">
            <v>900046833</v>
          </cell>
          <cell r="B1851" t="str">
            <v>CO</v>
          </cell>
          <cell r="C1851" t="str">
            <v>MEMPHIS GROUP LTDA</v>
          </cell>
        </row>
        <row r="1852">
          <cell r="A1852">
            <v>900047165</v>
          </cell>
          <cell r="B1852" t="str">
            <v>CO</v>
          </cell>
          <cell r="C1852" t="str">
            <v>CN COMERCIAL BOUTIQUE SANTA ANA</v>
          </cell>
        </row>
        <row r="1853">
          <cell r="A1853">
            <v>900053978</v>
          </cell>
          <cell r="B1853" t="str">
            <v>CO</v>
          </cell>
          <cell r="C1853" t="str">
            <v>TCC GLOBAL MENSAJERIA SA</v>
          </cell>
        </row>
        <row r="1854">
          <cell r="A1854">
            <v>900055091</v>
          </cell>
          <cell r="B1854" t="str">
            <v>CO</v>
          </cell>
          <cell r="C1854" t="str">
            <v>AQUILES COLOMBIA LTDA</v>
          </cell>
        </row>
        <row r="1855">
          <cell r="A1855">
            <v>900055635</v>
          </cell>
          <cell r="B1855" t="str">
            <v>CO</v>
          </cell>
          <cell r="C1855" t="str">
            <v>INVERSIONES LIGOL LTDA</v>
          </cell>
        </row>
        <row r="1856">
          <cell r="A1856">
            <v>900057383</v>
          </cell>
          <cell r="B1856" t="str">
            <v>CO</v>
          </cell>
          <cell r="C1856" t="str">
            <v>WURTH COLOMBIA S.A</v>
          </cell>
        </row>
        <row r="1857">
          <cell r="A1857">
            <v>900059184</v>
          </cell>
          <cell r="B1857" t="str">
            <v>CO</v>
          </cell>
          <cell r="C1857" t="str">
            <v>PLAZA IMPERIAL CN COMERCIAL</v>
          </cell>
        </row>
        <row r="1858">
          <cell r="A1858">
            <v>900065704</v>
          </cell>
          <cell r="B1858" t="str">
            <v>CO</v>
          </cell>
          <cell r="C1858" t="str">
            <v>HIERROS Y LAMINAS R &amp; N LIMITADA</v>
          </cell>
        </row>
        <row r="1859">
          <cell r="A1859">
            <v>900069170</v>
          </cell>
          <cell r="B1859" t="str">
            <v>CO</v>
          </cell>
          <cell r="C1859" t="str">
            <v>DISEBERCOM SA</v>
          </cell>
        </row>
        <row r="1860">
          <cell r="A1860">
            <v>900069204</v>
          </cell>
          <cell r="B1860" t="str">
            <v>CO</v>
          </cell>
          <cell r="C1860" t="str">
            <v>VSM SERVICIOS JURIDICOS SA</v>
          </cell>
        </row>
        <row r="1861">
          <cell r="A1861">
            <v>900069712</v>
          </cell>
          <cell r="B1861" t="str">
            <v>CO</v>
          </cell>
          <cell r="C1861" t="str">
            <v>MONTEJO HEAVY LIFT SA</v>
          </cell>
        </row>
        <row r="1862">
          <cell r="A1862">
            <v>900069773</v>
          </cell>
          <cell r="B1862" t="str">
            <v>CO</v>
          </cell>
          <cell r="C1862" t="str">
            <v>TOTOYA GOURMET S A S</v>
          </cell>
        </row>
        <row r="1863">
          <cell r="A1863">
            <v>900070165</v>
          </cell>
          <cell r="B1863" t="str">
            <v>CO</v>
          </cell>
          <cell r="C1863" t="str">
            <v>DIXPRO LTDA</v>
          </cell>
        </row>
        <row r="1864">
          <cell r="A1864">
            <v>900072847</v>
          </cell>
          <cell r="B1864" t="str">
            <v>CO</v>
          </cell>
          <cell r="C1864" t="str">
            <v>ESTACION DE SERVICIO</v>
          </cell>
        </row>
        <row r="1865">
          <cell r="A1865">
            <v>900075885</v>
          </cell>
          <cell r="B1865" t="str">
            <v>CO</v>
          </cell>
          <cell r="C1865" t="str">
            <v>DAMPA SA GRUPO EMPRESARIAL</v>
          </cell>
        </row>
        <row r="1866">
          <cell r="A1866">
            <v>900078103</v>
          </cell>
          <cell r="B1866" t="str">
            <v>CO</v>
          </cell>
          <cell r="C1866" t="str">
            <v>COMBUSTIBLES H&amp;R LTDA</v>
          </cell>
        </row>
        <row r="1867">
          <cell r="A1867">
            <v>900080289</v>
          </cell>
          <cell r="B1867" t="str">
            <v>CO</v>
          </cell>
          <cell r="C1867" t="str">
            <v>TUVALREP SAS</v>
          </cell>
        </row>
        <row r="1868">
          <cell r="A1868">
            <v>900085569</v>
          </cell>
          <cell r="B1868" t="str">
            <v>CO</v>
          </cell>
          <cell r="C1868" t="str">
            <v>CN COMERCIAL Y DE NEGOCIOS</v>
          </cell>
        </row>
        <row r="1869">
          <cell r="A1869">
            <v>900088112</v>
          </cell>
          <cell r="B1869" t="str">
            <v>CO</v>
          </cell>
          <cell r="C1869" t="str">
            <v>AEROLINEAS GALAPAGOS SA</v>
          </cell>
        </row>
        <row r="1870">
          <cell r="A1870">
            <v>900088915</v>
          </cell>
          <cell r="B1870" t="str">
            <v>CO</v>
          </cell>
          <cell r="C1870" t="str">
            <v>EASYFLY SA</v>
          </cell>
        </row>
        <row r="1871">
          <cell r="A1871">
            <v>900090959</v>
          </cell>
          <cell r="B1871" t="str">
            <v>CO</v>
          </cell>
          <cell r="C1871" t="str">
            <v>SILMA TERPEL S.A</v>
          </cell>
        </row>
        <row r="1872">
          <cell r="A1872">
            <v>900092385</v>
          </cell>
          <cell r="B1872" t="str">
            <v>CO</v>
          </cell>
          <cell r="C1872" t="str">
            <v>UNE EPM TELECOMUNICACIONES SA</v>
          </cell>
        </row>
        <row r="1873">
          <cell r="A1873">
            <v>900093289</v>
          </cell>
          <cell r="B1873" t="str">
            <v>CO</v>
          </cell>
          <cell r="C1873" t="str">
            <v>SOCIEDAD JAIR SA</v>
          </cell>
        </row>
        <row r="1874">
          <cell r="A1874">
            <v>900094986</v>
          </cell>
          <cell r="B1874" t="str">
            <v>CO</v>
          </cell>
          <cell r="C1874" t="str">
            <v>GAIRA CAFE CUMBIA HOUSE</v>
          </cell>
        </row>
        <row r="1875">
          <cell r="A1875">
            <v>900095648</v>
          </cell>
          <cell r="B1875" t="str">
            <v>CO</v>
          </cell>
          <cell r="C1875" t="str">
            <v>JW MARRIOTT</v>
          </cell>
        </row>
        <row r="1876">
          <cell r="A1876">
            <v>900095723</v>
          </cell>
          <cell r="B1876" t="str">
            <v>CO</v>
          </cell>
          <cell r="C1876" t="str">
            <v>GOMEZ &amp; PROF. CONSULTORA LTDA</v>
          </cell>
        </row>
        <row r="1877">
          <cell r="A1877">
            <v>900106777</v>
          </cell>
          <cell r="B1877" t="str">
            <v>CO</v>
          </cell>
          <cell r="C1877" t="str">
            <v>SOLDEXEL LTDA</v>
          </cell>
        </row>
        <row r="1878">
          <cell r="A1878">
            <v>900110290</v>
          </cell>
          <cell r="B1878" t="str">
            <v>CO</v>
          </cell>
          <cell r="C1878" t="str">
            <v>AUTOMATIZACION Y CONTROL</v>
          </cell>
        </row>
        <row r="1879">
          <cell r="A1879">
            <v>900112474</v>
          </cell>
          <cell r="B1879" t="str">
            <v>CO</v>
          </cell>
          <cell r="C1879" t="str">
            <v>MUNDO ALUMINIOS SAS</v>
          </cell>
        </row>
        <row r="1880">
          <cell r="A1880">
            <v>900112539</v>
          </cell>
          <cell r="B1880" t="str">
            <v>CO</v>
          </cell>
          <cell r="C1880" t="str">
            <v>AIR CLEAN SYSTEMS ACS SA</v>
          </cell>
        </row>
        <row r="1881">
          <cell r="A1881">
            <v>900112580</v>
          </cell>
          <cell r="B1881" t="str">
            <v>CO</v>
          </cell>
          <cell r="C1881" t="str">
            <v>GRUPO EMPRESARIAL ALHAMBRA S.A.S.</v>
          </cell>
        </row>
        <row r="1882">
          <cell r="A1882">
            <v>900118564</v>
          </cell>
          <cell r="B1882" t="str">
            <v>CO</v>
          </cell>
          <cell r="C1882" t="str">
            <v>INTERCAFE SA</v>
          </cell>
        </row>
        <row r="1883">
          <cell r="A1883">
            <v>900120482</v>
          </cell>
          <cell r="B1883" t="str">
            <v>CO</v>
          </cell>
          <cell r="C1883" t="str">
            <v>ESTACION DE SERVICIO BRIO NQS 103</v>
          </cell>
        </row>
        <row r="1884">
          <cell r="A1884">
            <v>900121651</v>
          </cell>
          <cell r="B1884" t="str">
            <v>CO</v>
          </cell>
          <cell r="C1884" t="str">
            <v>ELM INGENIERIA LTDA</v>
          </cell>
        </row>
        <row r="1885">
          <cell r="A1885">
            <v>900123125</v>
          </cell>
          <cell r="B1885" t="str">
            <v>CO</v>
          </cell>
          <cell r="C1885" t="str">
            <v>VRG LINHAS AEREAS SA</v>
          </cell>
        </row>
        <row r="1886">
          <cell r="A1886">
            <v>900123515</v>
          </cell>
          <cell r="B1886" t="str">
            <v>CO</v>
          </cell>
          <cell r="C1886" t="str">
            <v>WAVECOMM CORPORATION SAS</v>
          </cell>
        </row>
        <row r="1887">
          <cell r="A1887">
            <v>900123585</v>
          </cell>
          <cell r="B1887" t="str">
            <v>CO</v>
          </cell>
          <cell r="C1887" t="str">
            <v>ABC SANDBLASTING SAS</v>
          </cell>
        </row>
        <row r="1888">
          <cell r="A1888">
            <v>900126811</v>
          </cell>
          <cell r="B1888" t="str">
            <v>CO</v>
          </cell>
          <cell r="C1888" t="str">
            <v>DOTA &amp; SEG SAS</v>
          </cell>
        </row>
        <row r="1889">
          <cell r="A1889">
            <v>900126863</v>
          </cell>
          <cell r="B1889" t="str">
            <v>CO</v>
          </cell>
          <cell r="C1889" t="str">
            <v>EDS TERPEL AV CALLE 80</v>
          </cell>
        </row>
        <row r="1890">
          <cell r="A1890">
            <v>900127868</v>
          </cell>
          <cell r="B1890" t="str">
            <v>CO</v>
          </cell>
          <cell r="C1890" t="str">
            <v>COOPERATIVA MULTIACTIVA DE</v>
          </cell>
        </row>
        <row r="1891">
          <cell r="A1891">
            <v>900133093</v>
          </cell>
          <cell r="B1891" t="str">
            <v>CO</v>
          </cell>
          <cell r="C1891" t="str">
            <v>COMBUSTIBLES DEL CESAR &amp; CIA LTDA</v>
          </cell>
        </row>
        <row r="1892">
          <cell r="A1892">
            <v>900133223</v>
          </cell>
          <cell r="B1892" t="str">
            <v>CO</v>
          </cell>
          <cell r="C1892" t="str">
            <v>INK COLOR SUMINISTROS LTDA</v>
          </cell>
        </row>
        <row r="1893">
          <cell r="A1893">
            <v>900137125</v>
          </cell>
          <cell r="B1893" t="str">
            <v>CO</v>
          </cell>
          <cell r="C1893" t="str">
            <v>PRIMITEX LTDA</v>
          </cell>
        </row>
        <row r="1894">
          <cell r="A1894">
            <v>900137771</v>
          </cell>
          <cell r="B1894" t="str">
            <v>CO</v>
          </cell>
          <cell r="C1894" t="str">
            <v>JUEGOS Y APUESTAS LA PERLA SA</v>
          </cell>
        </row>
        <row r="1895">
          <cell r="A1895">
            <v>900139910</v>
          </cell>
          <cell r="B1895" t="str">
            <v>CO</v>
          </cell>
          <cell r="C1895" t="str">
            <v>DON JEDIONDO SOPITAS Y PARRILLA SAS</v>
          </cell>
        </row>
        <row r="1896">
          <cell r="A1896">
            <v>900143084</v>
          </cell>
          <cell r="B1896" t="str">
            <v>CO</v>
          </cell>
          <cell r="C1896" t="str">
            <v>PROVEINCOL LTDA</v>
          </cell>
        </row>
        <row r="1897">
          <cell r="A1897">
            <v>900145884</v>
          </cell>
          <cell r="B1897" t="str">
            <v>CO</v>
          </cell>
          <cell r="C1897" t="str">
            <v>PROYECTO TANQUES Y MONTAJES</v>
          </cell>
        </row>
        <row r="1898">
          <cell r="A1898">
            <v>900147238</v>
          </cell>
          <cell r="B1898" t="str">
            <v>CO</v>
          </cell>
          <cell r="C1898" t="str">
            <v>GESTION Y CONTACTO APORTES EN LINEA</v>
          </cell>
        </row>
        <row r="1899">
          <cell r="A1899">
            <v>900147481</v>
          </cell>
          <cell r="B1899" t="str">
            <v>CO</v>
          </cell>
          <cell r="C1899" t="str">
            <v>HN TEMCOL LTDA</v>
          </cell>
        </row>
        <row r="1900">
          <cell r="A1900">
            <v>900147705</v>
          </cell>
          <cell r="B1900" t="str">
            <v>CO</v>
          </cell>
          <cell r="C1900" t="str">
            <v>ESTACION DE SERVICIO MAYITO SAS</v>
          </cell>
        </row>
        <row r="1901">
          <cell r="A1901">
            <v>900148737</v>
          </cell>
          <cell r="B1901" t="str">
            <v>CO</v>
          </cell>
          <cell r="C1901" t="str">
            <v>ELECTROCONEXIONES BOGOTA LTDA</v>
          </cell>
        </row>
        <row r="1902">
          <cell r="A1902">
            <v>900149566</v>
          </cell>
          <cell r="B1902" t="str">
            <v>CO</v>
          </cell>
          <cell r="C1902" t="str">
            <v>SERVICENTRO SAN ANDRES LTDA</v>
          </cell>
        </row>
        <row r="1903">
          <cell r="A1903">
            <v>900155107</v>
          </cell>
          <cell r="B1903" t="str">
            <v>CO</v>
          </cell>
          <cell r="C1903" t="str">
            <v>CENCOSUD COLOMBIA SA</v>
          </cell>
        </row>
        <row r="1904">
          <cell r="A1904">
            <v>900155398</v>
          </cell>
          <cell r="B1904" t="str">
            <v>CO</v>
          </cell>
          <cell r="C1904" t="str">
            <v>TUBERIAS LAMINAS &amp; PERFILES SAS</v>
          </cell>
        </row>
        <row r="1905">
          <cell r="A1905">
            <v>900156264</v>
          </cell>
          <cell r="B1905" t="str">
            <v>CO</v>
          </cell>
          <cell r="C1905" t="str">
            <v>NUEVA EPS</v>
          </cell>
        </row>
        <row r="1906">
          <cell r="A1906">
            <v>900156309</v>
          </cell>
          <cell r="B1906" t="str">
            <v>CO</v>
          </cell>
          <cell r="C1906" t="str">
            <v>TRANSPORTES MB LTDA</v>
          </cell>
        </row>
        <row r="1907">
          <cell r="A1907">
            <v>900157169</v>
          </cell>
          <cell r="B1907" t="str">
            <v>CO</v>
          </cell>
          <cell r="C1907" t="str">
            <v>CONECTEC LTDA</v>
          </cell>
        </row>
        <row r="1908">
          <cell r="A1908">
            <v>900159278</v>
          </cell>
          <cell r="B1908" t="str">
            <v>CO</v>
          </cell>
          <cell r="C1908" t="str">
            <v>PROTECK LTDA</v>
          </cell>
        </row>
        <row r="1909">
          <cell r="A1909">
            <v>900160558</v>
          </cell>
          <cell r="B1909" t="str">
            <v>CO</v>
          </cell>
          <cell r="C1909" t="str">
            <v>KTALIZ MEMORY EU</v>
          </cell>
        </row>
        <row r="1910">
          <cell r="A1910">
            <v>900162612</v>
          </cell>
          <cell r="B1910" t="str">
            <v>CO</v>
          </cell>
          <cell r="C1910" t="str">
            <v>TEMPEL COLOMBIA LTDA</v>
          </cell>
        </row>
        <row r="1911">
          <cell r="A1911">
            <v>900164399</v>
          </cell>
          <cell r="B1911" t="str">
            <v>CO</v>
          </cell>
          <cell r="C1911" t="str">
            <v>RITTAL LTDA</v>
          </cell>
        </row>
        <row r="1912">
          <cell r="A1912">
            <v>900165714</v>
          </cell>
          <cell r="B1912" t="str">
            <v>CO</v>
          </cell>
          <cell r="C1912" t="str">
            <v>INVERSORA LA QUINTA &amp; CIA LTDA</v>
          </cell>
        </row>
        <row r="1913">
          <cell r="A1913">
            <v>900167652</v>
          </cell>
          <cell r="B1913" t="str">
            <v>CO</v>
          </cell>
          <cell r="C1913" t="str">
            <v>CONJUNTO PARQUES DE PONTEVEDRA PH</v>
          </cell>
        </row>
        <row r="1914">
          <cell r="A1914">
            <v>900167656</v>
          </cell>
          <cell r="B1914" t="str">
            <v>CO</v>
          </cell>
          <cell r="C1914" t="str">
            <v>SANTA ELENA EL DORADO SA</v>
          </cell>
        </row>
        <row r="1915">
          <cell r="A1915">
            <v>900173435</v>
          </cell>
          <cell r="B1915" t="str">
            <v>CO</v>
          </cell>
          <cell r="C1915" t="str">
            <v>HAMMER MERCHANDISING LTDA</v>
          </cell>
        </row>
        <row r="1916">
          <cell r="A1916">
            <v>900179369</v>
          </cell>
          <cell r="B1916" t="str">
            <v>CO</v>
          </cell>
          <cell r="C1916" t="str">
            <v>CONFIPETROL SAS</v>
          </cell>
        </row>
        <row r="1917">
          <cell r="A1917">
            <v>900180156</v>
          </cell>
          <cell r="B1917" t="str">
            <v>CO</v>
          </cell>
          <cell r="C1917" t="str">
            <v>WESTLAND EPP SA</v>
          </cell>
        </row>
        <row r="1918">
          <cell r="A1918">
            <v>900180500</v>
          </cell>
          <cell r="B1918" t="str">
            <v>CO</v>
          </cell>
          <cell r="C1918" t="str">
            <v>HOTELES MILLENIUM SA</v>
          </cell>
        </row>
        <row r="1919">
          <cell r="A1919">
            <v>900184686</v>
          </cell>
          <cell r="B1919" t="str">
            <v>CO</v>
          </cell>
          <cell r="C1919" t="str">
            <v>CENTRAL DE ARRENDAMIENTOS</v>
          </cell>
        </row>
        <row r="1920">
          <cell r="A1920">
            <v>900185878</v>
          </cell>
          <cell r="B1920" t="str">
            <v>CO</v>
          </cell>
          <cell r="C1920" t="str">
            <v>PARKING ESTACION CENTRAL SA</v>
          </cell>
        </row>
        <row r="1921">
          <cell r="A1921">
            <v>900188364</v>
          </cell>
          <cell r="B1921" t="str">
            <v>CO</v>
          </cell>
          <cell r="C1921" t="str">
            <v>KINETA SAS</v>
          </cell>
        </row>
        <row r="1922">
          <cell r="A1922">
            <v>900189711</v>
          </cell>
          <cell r="B1922" t="str">
            <v>CO</v>
          </cell>
          <cell r="C1922" t="str">
            <v>CONSORCIO SERVICIOS INTEGRALES</v>
          </cell>
        </row>
        <row r="1923">
          <cell r="A1923">
            <v>900190044</v>
          </cell>
          <cell r="B1923" t="str">
            <v>CO</v>
          </cell>
          <cell r="C1923" t="str">
            <v>HOME DELIVERY</v>
          </cell>
        </row>
        <row r="1924">
          <cell r="A1924">
            <v>900191190</v>
          </cell>
          <cell r="B1924" t="str">
            <v>CO</v>
          </cell>
          <cell r="C1924" t="str">
            <v>CSI RENTING COLOMBIA SA</v>
          </cell>
        </row>
        <row r="1925">
          <cell r="A1925">
            <v>900193129</v>
          </cell>
          <cell r="B1925" t="str">
            <v>CO</v>
          </cell>
          <cell r="C1925" t="str">
            <v>MSA DE COLOMBIA SAS</v>
          </cell>
        </row>
        <row r="1926">
          <cell r="A1926">
            <v>900198092</v>
          </cell>
          <cell r="B1926" t="str">
            <v>CO</v>
          </cell>
          <cell r="C1926" t="str">
            <v>ES MOBIL JUM AJAD SA</v>
          </cell>
        </row>
        <row r="1927">
          <cell r="A1927">
            <v>900198335</v>
          </cell>
          <cell r="B1927" t="str">
            <v>CO</v>
          </cell>
          <cell r="C1927" t="str">
            <v>DOTAR INSEG SAS</v>
          </cell>
        </row>
        <row r="1928">
          <cell r="A1928">
            <v>900199241</v>
          </cell>
          <cell r="B1928" t="str">
            <v>CO</v>
          </cell>
          <cell r="C1928" t="str">
            <v>SIMI INGENIERIA SAS</v>
          </cell>
        </row>
        <row r="1929">
          <cell r="A1929">
            <v>900201652</v>
          </cell>
          <cell r="B1929" t="str">
            <v>CO</v>
          </cell>
          <cell r="C1929" t="str">
            <v>J E MULTISERVICIOS SAS</v>
          </cell>
        </row>
        <row r="1930">
          <cell r="A1930">
            <v>900203210</v>
          </cell>
          <cell r="B1930" t="str">
            <v>CO</v>
          </cell>
          <cell r="C1930" t="str">
            <v>COMTELCOL EU</v>
          </cell>
        </row>
        <row r="1931">
          <cell r="A1931">
            <v>900204894</v>
          </cell>
          <cell r="B1931" t="str">
            <v>CO</v>
          </cell>
          <cell r="C1931" t="str">
            <v>FERRETERIA FERRI OLIVER SAS</v>
          </cell>
        </row>
        <row r="1932">
          <cell r="A1932">
            <v>900207077</v>
          </cell>
          <cell r="B1932" t="str">
            <v>CO</v>
          </cell>
          <cell r="C1932" t="str">
            <v>BACKBONE COMUNICACIONES LTDA</v>
          </cell>
        </row>
        <row r="1933">
          <cell r="A1933">
            <v>900207470</v>
          </cell>
          <cell r="B1933" t="str">
            <v>CO</v>
          </cell>
          <cell r="C1933" t="str">
            <v>SIXTO RAFAEL LTDA</v>
          </cell>
        </row>
        <row r="1934">
          <cell r="A1934">
            <v>900208199</v>
          </cell>
          <cell r="B1934" t="str">
            <v>CO</v>
          </cell>
          <cell r="C1934" t="str">
            <v>CIR INVERCITY S.A.</v>
          </cell>
        </row>
        <row r="1935">
          <cell r="A1935">
            <v>900209658</v>
          </cell>
          <cell r="B1935" t="str">
            <v>CO</v>
          </cell>
          <cell r="C1935" t="str">
            <v>DISEÑOX LTDA</v>
          </cell>
        </row>
        <row r="1936">
          <cell r="A1936">
            <v>900209731</v>
          </cell>
          <cell r="B1936" t="str">
            <v>CO</v>
          </cell>
          <cell r="C1936" t="str">
            <v>14 INKAS SA</v>
          </cell>
        </row>
        <row r="1937">
          <cell r="A1937">
            <v>900209807</v>
          </cell>
          <cell r="B1937" t="str">
            <v>CO</v>
          </cell>
          <cell r="C1937" t="str">
            <v>SLA COL SAS</v>
          </cell>
        </row>
        <row r="1938">
          <cell r="A1938">
            <v>900210064</v>
          </cell>
          <cell r="B1938" t="str">
            <v>CO</v>
          </cell>
          <cell r="C1938" t="str">
            <v>C. I. DISTECNICA DE RADIADORES LTDA</v>
          </cell>
        </row>
        <row r="1939">
          <cell r="A1939">
            <v>900210321</v>
          </cell>
          <cell r="B1939" t="str">
            <v>CO</v>
          </cell>
          <cell r="C1939" t="str">
            <v>FIBER ELECTRONICS SAS</v>
          </cell>
        </row>
        <row r="1940">
          <cell r="A1940">
            <v>900211120</v>
          </cell>
          <cell r="B1940" t="str">
            <v>CO</v>
          </cell>
          <cell r="C1940" t="str">
            <v>OPERADORA ALSEA EN COLOMBIA S A</v>
          </cell>
        </row>
        <row r="1941">
          <cell r="A1941">
            <v>900211372</v>
          </cell>
          <cell r="B1941" t="str">
            <v>CO</v>
          </cell>
          <cell r="C1941" t="str">
            <v>CENTRO DE DIAGNOSTICO AUTOMOTOR</v>
          </cell>
        </row>
        <row r="1942">
          <cell r="A1942">
            <v>900212743</v>
          </cell>
          <cell r="B1942" t="str">
            <v>CO</v>
          </cell>
          <cell r="C1942" t="str">
            <v>ZONA FRANCA TOCANCIPA</v>
          </cell>
        </row>
        <row r="1943">
          <cell r="A1943">
            <v>900218739</v>
          </cell>
          <cell r="B1943" t="str">
            <v>CO</v>
          </cell>
          <cell r="C1943" t="str">
            <v>REDES &amp; ELECTRICOS LTDA</v>
          </cell>
        </row>
        <row r="1944">
          <cell r="A1944">
            <v>900220034</v>
          </cell>
          <cell r="B1944" t="str">
            <v>CO</v>
          </cell>
          <cell r="C1944" t="str">
            <v>FERRETERIA ARDILA Y SANTOS SA</v>
          </cell>
        </row>
        <row r="1945">
          <cell r="A1945">
            <v>900226455</v>
          </cell>
          <cell r="B1945" t="str">
            <v>CO</v>
          </cell>
          <cell r="C1945" t="str">
            <v>CAUCHOS EL CACIQUE COLOMBIA SAS</v>
          </cell>
        </row>
        <row r="1946">
          <cell r="A1946">
            <v>900227413</v>
          </cell>
          <cell r="B1946" t="str">
            <v>CO</v>
          </cell>
          <cell r="C1946" t="str">
            <v>EMPRESA DE SERVICIOS</v>
          </cell>
        </row>
        <row r="1947">
          <cell r="A1947">
            <v>900229487</v>
          </cell>
          <cell r="B1947" t="str">
            <v>CO</v>
          </cell>
          <cell r="C1947" t="str">
            <v>SEDETRANS SERVICIOS ESPECIALIZADOS</v>
          </cell>
        </row>
        <row r="1948">
          <cell r="A1948">
            <v>900232484</v>
          </cell>
          <cell r="B1948" t="str">
            <v>CO</v>
          </cell>
          <cell r="C1948" t="str">
            <v>UNION DE TRABAJADORES</v>
          </cell>
        </row>
        <row r="1949">
          <cell r="A1949">
            <v>900239396</v>
          </cell>
          <cell r="B1949" t="str">
            <v>CO</v>
          </cell>
          <cell r="C1949" t="str">
            <v>ISOLUCION SISTEMAS INTEGRADOS  SA</v>
          </cell>
        </row>
        <row r="1950">
          <cell r="A1950">
            <v>900241055</v>
          </cell>
          <cell r="B1950" t="str">
            <v>CO</v>
          </cell>
          <cell r="C1950" t="str">
            <v>SINAPTICA LTDA</v>
          </cell>
        </row>
        <row r="1951">
          <cell r="A1951">
            <v>900242454</v>
          </cell>
          <cell r="B1951" t="str">
            <v>CO</v>
          </cell>
          <cell r="C1951" t="str">
            <v>MVD INVERSIONES SAS</v>
          </cell>
        </row>
        <row r="1952">
          <cell r="A1952">
            <v>900243031</v>
          </cell>
          <cell r="B1952" t="str">
            <v>CO</v>
          </cell>
          <cell r="C1952" t="str">
            <v>FOR U TECH SAS</v>
          </cell>
        </row>
        <row r="1953">
          <cell r="A1953">
            <v>900245045</v>
          </cell>
          <cell r="B1953" t="str">
            <v>CO</v>
          </cell>
          <cell r="C1953" t="str">
            <v>IP TECHNOLOGIES SAS</v>
          </cell>
        </row>
        <row r="1954">
          <cell r="A1954">
            <v>900249607</v>
          </cell>
          <cell r="B1954" t="str">
            <v>CO</v>
          </cell>
          <cell r="C1954" t="str">
            <v>BUFFALO WINGS COLOMBIA</v>
          </cell>
        </row>
        <row r="1955">
          <cell r="A1955">
            <v>900249926</v>
          </cell>
          <cell r="B1955" t="str">
            <v>CO</v>
          </cell>
          <cell r="C1955" t="str">
            <v>MAR CLARO LTDA</v>
          </cell>
        </row>
        <row r="1956">
          <cell r="A1956">
            <v>900250600</v>
          </cell>
          <cell r="B1956" t="str">
            <v>CO</v>
          </cell>
          <cell r="C1956" t="str">
            <v>COMERCIALIZADORA INTERNANCIONAL</v>
          </cell>
        </row>
        <row r="1957">
          <cell r="A1957">
            <v>900250809</v>
          </cell>
          <cell r="B1957" t="str">
            <v>CO</v>
          </cell>
          <cell r="C1957" t="str">
            <v>QUANTUM CONSULTING</v>
          </cell>
        </row>
        <row r="1958">
          <cell r="A1958">
            <v>900252414</v>
          </cell>
          <cell r="B1958" t="str">
            <v>CO</v>
          </cell>
          <cell r="C1958" t="str">
            <v>KRONOS LOGISTICS</v>
          </cell>
        </row>
        <row r="1959">
          <cell r="A1959">
            <v>900254399</v>
          </cell>
          <cell r="B1959" t="str">
            <v>CO</v>
          </cell>
          <cell r="C1959" t="str">
            <v>JETBLUE AIRWAYS CORPORATION</v>
          </cell>
        </row>
        <row r="1960">
          <cell r="A1960">
            <v>900255124</v>
          </cell>
          <cell r="B1960" t="str">
            <v>CO</v>
          </cell>
          <cell r="C1960" t="str">
            <v>MONTAJES TPM SAS</v>
          </cell>
        </row>
        <row r="1961">
          <cell r="A1961">
            <v>900255884</v>
          </cell>
          <cell r="B1961" t="str">
            <v>CO</v>
          </cell>
          <cell r="C1961" t="str">
            <v>INVENSYS PROCESS SYSTEMS LTDA</v>
          </cell>
        </row>
        <row r="1962">
          <cell r="A1962">
            <v>900257482</v>
          </cell>
          <cell r="B1962" t="str">
            <v>CO</v>
          </cell>
          <cell r="C1962" t="str">
            <v>EDS ALELI LTDA</v>
          </cell>
        </row>
        <row r="1963">
          <cell r="A1963">
            <v>900257617</v>
          </cell>
          <cell r="B1963" t="str">
            <v>CO</v>
          </cell>
          <cell r="C1963" t="str">
            <v>WINGS BOGOTA S.A</v>
          </cell>
        </row>
        <row r="1964">
          <cell r="A1964">
            <v>900258736</v>
          </cell>
          <cell r="B1964" t="str">
            <v>CO</v>
          </cell>
          <cell r="C1964" t="str">
            <v>FUMYEXPRESS LTDA</v>
          </cell>
        </row>
        <row r="1965">
          <cell r="A1965">
            <v>900258828</v>
          </cell>
          <cell r="B1965" t="str">
            <v>CO</v>
          </cell>
          <cell r="C1965" t="str">
            <v>SERVICIOS INTEGRALES PUERTO</v>
          </cell>
        </row>
        <row r="1966">
          <cell r="A1966">
            <v>900259611</v>
          </cell>
          <cell r="B1966" t="str">
            <v>CO</v>
          </cell>
          <cell r="C1966" t="str">
            <v>MEGA ESTRUCTURAS METALICAS</v>
          </cell>
        </row>
        <row r="1967">
          <cell r="A1967">
            <v>900262482</v>
          </cell>
          <cell r="B1967" t="str">
            <v>CO</v>
          </cell>
          <cell r="C1967" t="str">
            <v>UNION DE TRABAJADORES DE LA</v>
          </cell>
        </row>
        <row r="1968">
          <cell r="A1968">
            <v>900263812</v>
          </cell>
          <cell r="B1968" t="str">
            <v>CO</v>
          </cell>
          <cell r="C1968" t="str">
            <v>AGROFILS LTDA</v>
          </cell>
        </row>
        <row r="1969">
          <cell r="A1969">
            <v>900264082</v>
          </cell>
          <cell r="B1969" t="str">
            <v>CO</v>
          </cell>
          <cell r="C1969" t="str">
            <v>GLOBALOGISTICS SAS</v>
          </cell>
        </row>
        <row r="1970">
          <cell r="A1970">
            <v>900265390</v>
          </cell>
          <cell r="B1970" t="str">
            <v>CO</v>
          </cell>
          <cell r="C1970" t="str">
            <v>SOCIEDAD INVERSIONES PALATA SA</v>
          </cell>
        </row>
        <row r="1971">
          <cell r="A1971">
            <v>900267393</v>
          </cell>
          <cell r="B1971" t="str">
            <v>CO</v>
          </cell>
          <cell r="C1971" t="str">
            <v>CJ CONSTRUMAKINAS SA</v>
          </cell>
        </row>
        <row r="1972">
          <cell r="A1972">
            <v>900267611</v>
          </cell>
          <cell r="B1972" t="str">
            <v>CO</v>
          </cell>
          <cell r="C1972" t="str">
            <v>INTERMANOMETROS EU</v>
          </cell>
        </row>
        <row r="1973">
          <cell r="A1973">
            <v>900274067</v>
          </cell>
          <cell r="B1973" t="str">
            <v>CO</v>
          </cell>
          <cell r="C1973" t="str">
            <v>BOLTCOM LTDA</v>
          </cell>
        </row>
        <row r="1974">
          <cell r="A1974">
            <v>900275951</v>
          </cell>
          <cell r="B1974" t="str">
            <v>CO</v>
          </cell>
          <cell r="C1974" t="str">
            <v>PIROMETROS Y CONTACTORES LTDA</v>
          </cell>
        </row>
        <row r="1975">
          <cell r="A1975">
            <v>900277370</v>
          </cell>
          <cell r="B1975" t="str">
            <v>CO</v>
          </cell>
          <cell r="C1975" t="str">
            <v>ISHOP COLOMBIA S.A.S</v>
          </cell>
        </row>
        <row r="1976">
          <cell r="A1976">
            <v>900278246</v>
          </cell>
          <cell r="B1976" t="str">
            <v>CO</v>
          </cell>
          <cell r="C1976" t="str">
            <v>SERVICIOS DE INGENIERIA PARA COLOMB</v>
          </cell>
        </row>
        <row r="1977">
          <cell r="A1977">
            <v>900278446</v>
          </cell>
          <cell r="B1977" t="str">
            <v>CO</v>
          </cell>
          <cell r="C1977" t="str">
            <v>SERIMCOL LTDA</v>
          </cell>
        </row>
        <row r="1978">
          <cell r="A1978">
            <v>900278633</v>
          </cell>
          <cell r="B1978" t="str">
            <v>CO</v>
          </cell>
          <cell r="C1978" t="str">
            <v>ILS LOGISTICA INTEGRAL LTDA</v>
          </cell>
        </row>
        <row r="1979">
          <cell r="A1979">
            <v>900278802</v>
          </cell>
          <cell r="B1979" t="str">
            <v>CO</v>
          </cell>
          <cell r="C1979" t="str">
            <v>INVERSIONES CINNAMON GOURMET SA</v>
          </cell>
        </row>
        <row r="1980">
          <cell r="A1980">
            <v>900279659</v>
          </cell>
          <cell r="B1980" t="str">
            <v>CO</v>
          </cell>
          <cell r="C1980" t="str">
            <v>ROMA MANTENIMIENTO PREDICTIVO LTDA</v>
          </cell>
        </row>
        <row r="1981">
          <cell r="A1981">
            <v>900279815</v>
          </cell>
          <cell r="B1981" t="str">
            <v>CO</v>
          </cell>
          <cell r="C1981" t="str">
            <v>DISTRIBUIDORA CHAPINERO INSTITUCION</v>
          </cell>
        </row>
        <row r="1982">
          <cell r="A1982">
            <v>900281388</v>
          </cell>
          <cell r="B1982" t="str">
            <v>CO</v>
          </cell>
          <cell r="C1982" t="str">
            <v>HEIGHT ACCESS LTDA</v>
          </cell>
        </row>
        <row r="1983">
          <cell r="A1983">
            <v>900282053</v>
          </cell>
          <cell r="B1983" t="str">
            <v>CO</v>
          </cell>
          <cell r="C1983" t="str">
            <v>MCLEAN LTDA</v>
          </cell>
        </row>
        <row r="1984">
          <cell r="A1984">
            <v>900282324</v>
          </cell>
          <cell r="B1984" t="str">
            <v>CO</v>
          </cell>
          <cell r="C1984" t="str">
            <v>ALCACHOFAS DEL HUERTO SA</v>
          </cell>
        </row>
        <row r="1985">
          <cell r="A1985">
            <v>900282437</v>
          </cell>
          <cell r="B1985" t="str">
            <v>CO</v>
          </cell>
          <cell r="C1985" t="str">
            <v>SCADA AUTOMATIZACION SAS</v>
          </cell>
        </row>
        <row r="1986">
          <cell r="A1986">
            <v>900282582</v>
          </cell>
          <cell r="B1986" t="str">
            <v>CO</v>
          </cell>
          <cell r="C1986" t="str">
            <v>BDIAZ HERMANOS SAS</v>
          </cell>
        </row>
        <row r="1987">
          <cell r="A1987">
            <v>900282945</v>
          </cell>
          <cell r="B1987" t="str">
            <v>CO</v>
          </cell>
          <cell r="C1987" t="str">
            <v>ILUMIREDES LTDA</v>
          </cell>
        </row>
        <row r="1988">
          <cell r="A1988">
            <v>900284209</v>
          </cell>
          <cell r="B1988" t="str">
            <v>CO</v>
          </cell>
          <cell r="C1988" t="str">
            <v>PRODIASEO S.A.S.</v>
          </cell>
        </row>
        <row r="1989">
          <cell r="A1989">
            <v>900285194</v>
          </cell>
          <cell r="B1989" t="str">
            <v>CO</v>
          </cell>
          <cell r="C1989" t="str">
            <v>FARMACIA INSTITUCIONAL SAS</v>
          </cell>
        </row>
        <row r="1990">
          <cell r="A1990">
            <v>900291958</v>
          </cell>
          <cell r="B1990" t="str">
            <v>CO</v>
          </cell>
          <cell r="C1990" t="str">
            <v>ESTACION DE SERVICIOS HERGOS</v>
          </cell>
        </row>
        <row r="1991">
          <cell r="A1991">
            <v>900292928</v>
          </cell>
          <cell r="B1991" t="str">
            <v>CO</v>
          </cell>
          <cell r="C1991" t="str">
            <v>ICTUS DE COLOMBIA S.A.S.</v>
          </cell>
        </row>
        <row r="1992">
          <cell r="A1992">
            <v>900293151</v>
          </cell>
          <cell r="B1992" t="str">
            <v>CO</v>
          </cell>
          <cell r="C1992" t="str">
            <v>YEMANJA S.A.S.</v>
          </cell>
        </row>
        <row r="1993">
          <cell r="A1993">
            <v>900296053</v>
          </cell>
          <cell r="B1993" t="str">
            <v>CO</v>
          </cell>
          <cell r="C1993" t="str">
            <v>CORPORACION DE TELEVISION CIVICA</v>
          </cell>
        </row>
        <row r="1994">
          <cell r="A1994">
            <v>900297381</v>
          </cell>
          <cell r="B1994" t="str">
            <v>CO</v>
          </cell>
          <cell r="C1994" t="str">
            <v>PLAKA SAS</v>
          </cell>
        </row>
        <row r="1995">
          <cell r="A1995">
            <v>900299998</v>
          </cell>
          <cell r="B1995" t="str">
            <v>CO</v>
          </cell>
          <cell r="C1995" t="str">
            <v>INCOO SAS</v>
          </cell>
        </row>
        <row r="1996">
          <cell r="A1996">
            <v>900300965</v>
          </cell>
          <cell r="B1996" t="str">
            <v>CO</v>
          </cell>
          <cell r="C1996" t="str">
            <v>LOGROS FACTORING COLOMBIA SA</v>
          </cell>
        </row>
        <row r="1997">
          <cell r="A1997">
            <v>900303450</v>
          </cell>
          <cell r="B1997" t="str">
            <v>CO</v>
          </cell>
          <cell r="C1997" t="str">
            <v>INC SOFT INGENIERIA DE SOFTWARE</v>
          </cell>
        </row>
        <row r="1998">
          <cell r="A1998">
            <v>900305829</v>
          </cell>
          <cell r="B1998" t="str">
            <v>CO</v>
          </cell>
          <cell r="C1998" t="str">
            <v>INGENIERIA DE CONTROL E INTEGRACION</v>
          </cell>
        </row>
        <row r="1999">
          <cell r="A1999">
            <v>900307703</v>
          </cell>
          <cell r="B1999" t="str">
            <v>CO</v>
          </cell>
          <cell r="C1999" t="str">
            <v>UNITED TRADING TRANSPORT SAS</v>
          </cell>
        </row>
        <row r="2000">
          <cell r="A2000">
            <v>900309687</v>
          </cell>
          <cell r="B2000" t="str">
            <v>CO</v>
          </cell>
          <cell r="C2000" t="str">
            <v>EDIFICIO TORRE EMPRESARIAL</v>
          </cell>
        </row>
        <row r="2001">
          <cell r="A2001">
            <v>900310725</v>
          </cell>
          <cell r="B2001" t="str">
            <v>CO</v>
          </cell>
          <cell r="C2001" t="str">
            <v>TOTAL COMPUTER SAS</v>
          </cell>
        </row>
        <row r="2002">
          <cell r="A2002">
            <v>900310986</v>
          </cell>
          <cell r="B2002" t="str">
            <v>CO</v>
          </cell>
          <cell r="C2002" t="str">
            <v>AR HOTELES SAS</v>
          </cell>
        </row>
        <row r="2003">
          <cell r="A2003">
            <v>900313349</v>
          </cell>
          <cell r="B2003" t="str">
            <v>CO</v>
          </cell>
          <cell r="C2003" t="str">
            <v>FAST COLOMBIA S.A.S</v>
          </cell>
        </row>
        <row r="2004">
          <cell r="A2004">
            <v>900315154</v>
          </cell>
          <cell r="B2004" t="str">
            <v>CO</v>
          </cell>
          <cell r="C2004" t="str">
            <v>LFX 1</v>
          </cell>
        </row>
        <row r="2005">
          <cell r="A2005">
            <v>900316616</v>
          </cell>
          <cell r="B2005" t="str">
            <v>CO</v>
          </cell>
          <cell r="C2005" t="str">
            <v>ATIELEC INDUSTRIAL LTDA</v>
          </cell>
        </row>
        <row r="2006">
          <cell r="A2006">
            <v>900317501</v>
          </cell>
          <cell r="B2006" t="str">
            <v>CO</v>
          </cell>
          <cell r="C2006" t="str">
            <v>DOTACIONES SAGAL SAS</v>
          </cell>
        </row>
        <row r="2007">
          <cell r="A2007">
            <v>900318567</v>
          </cell>
          <cell r="B2007" t="str">
            <v>CO</v>
          </cell>
          <cell r="C2007" t="str">
            <v>AGGREKO</v>
          </cell>
        </row>
        <row r="2008">
          <cell r="A2008">
            <v>900318743</v>
          </cell>
          <cell r="B2008" t="str">
            <v>CO</v>
          </cell>
          <cell r="C2008" t="str">
            <v>FUNDACION TEJIENDO FUTURO</v>
          </cell>
        </row>
        <row r="2009">
          <cell r="A2009">
            <v>900319010</v>
          </cell>
          <cell r="B2009" t="str">
            <v>CO</v>
          </cell>
          <cell r="C2009" t="str">
            <v>INVERSIONES MRH S.A.</v>
          </cell>
        </row>
        <row r="2010">
          <cell r="A2010">
            <v>900324620</v>
          </cell>
          <cell r="B2010" t="str">
            <v>CO</v>
          </cell>
          <cell r="C2010" t="str">
            <v>MIRADOR DEL RECUERDO</v>
          </cell>
        </row>
        <row r="2011">
          <cell r="A2011">
            <v>900328497</v>
          </cell>
          <cell r="B2011" t="str">
            <v>CO</v>
          </cell>
          <cell r="C2011" t="str">
            <v>HAHN AIR</v>
          </cell>
        </row>
        <row r="2012">
          <cell r="A2012">
            <v>900330500</v>
          </cell>
          <cell r="B2012" t="str">
            <v>CO</v>
          </cell>
          <cell r="C2012" t="str">
            <v>SERVICIOS ONLINE S A S</v>
          </cell>
        </row>
        <row r="2013">
          <cell r="A2013">
            <v>900331937</v>
          </cell>
          <cell r="B2013" t="str">
            <v>CO</v>
          </cell>
          <cell r="C2013" t="str">
            <v>SOMEDIN IPS LTDA</v>
          </cell>
        </row>
        <row r="2014">
          <cell r="A2014">
            <v>900331963</v>
          </cell>
          <cell r="B2014" t="str">
            <v>CO</v>
          </cell>
          <cell r="C2014" t="str">
            <v>PUERTO TRIUNFO SAS</v>
          </cell>
        </row>
        <row r="2015">
          <cell r="A2015">
            <v>900332088</v>
          </cell>
          <cell r="B2015" t="str">
            <v>CO</v>
          </cell>
          <cell r="C2015" t="str">
            <v>LA PROVENCE DE ANDREI</v>
          </cell>
        </row>
        <row r="2016">
          <cell r="A2016">
            <v>900332208</v>
          </cell>
          <cell r="B2016" t="str">
            <v>CO</v>
          </cell>
          <cell r="C2016" t="str">
            <v>INMSA SAS</v>
          </cell>
        </row>
        <row r="2017">
          <cell r="A2017">
            <v>900333035</v>
          </cell>
          <cell r="B2017" t="str">
            <v>CO</v>
          </cell>
          <cell r="C2017" t="str">
            <v>RODMI SAS</v>
          </cell>
        </row>
        <row r="2018">
          <cell r="A2018">
            <v>900333361</v>
          </cell>
          <cell r="B2018" t="str">
            <v>CO</v>
          </cell>
          <cell r="C2018" t="str">
            <v>RENTA HARDWARE SAS</v>
          </cell>
        </row>
        <row r="2019">
          <cell r="A2019">
            <v>900335241</v>
          </cell>
          <cell r="B2019" t="str">
            <v>CO</v>
          </cell>
          <cell r="C2019" t="str">
            <v>MIS CARNES PARRILLA S.A.S</v>
          </cell>
        </row>
        <row r="2020">
          <cell r="A2020">
            <v>900335384</v>
          </cell>
          <cell r="B2020" t="str">
            <v>CO</v>
          </cell>
          <cell r="C2020" t="str">
            <v>UNION TEMPORAL OML - PIL</v>
          </cell>
        </row>
        <row r="2021">
          <cell r="A2021">
            <v>900336004</v>
          </cell>
          <cell r="B2021" t="str">
            <v>CO</v>
          </cell>
          <cell r="C2021" t="str">
            <v>ADMINISTRADORA COLOMBIANA DE</v>
          </cell>
        </row>
        <row r="2022">
          <cell r="A2022">
            <v>900337117</v>
          </cell>
          <cell r="B2022" t="str">
            <v>CO</v>
          </cell>
          <cell r="C2022" t="str">
            <v>EDIFICIO NUEVE 7 OFICINAS</v>
          </cell>
        </row>
        <row r="2023">
          <cell r="A2023">
            <v>900338329</v>
          </cell>
          <cell r="B2023" t="str">
            <v>CO</v>
          </cell>
          <cell r="C2023" t="str">
            <v>FUNDACION FORJA</v>
          </cell>
        </row>
        <row r="2024">
          <cell r="A2024">
            <v>900339488</v>
          </cell>
          <cell r="B2024" t="str">
            <v>CO</v>
          </cell>
          <cell r="C2024" t="str">
            <v>COMPAÑIA DE SERVICIOS ELECTRICOS</v>
          </cell>
        </row>
        <row r="2025">
          <cell r="A2025">
            <v>900339518</v>
          </cell>
          <cell r="B2025" t="str">
            <v>CO</v>
          </cell>
          <cell r="C2025" t="str">
            <v>ACCEPETROL LTDA</v>
          </cell>
        </row>
        <row r="2026">
          <cell r="A2026">
            <v>900340249</v>
          </cell>
          <cell r="B2026" t="str">
            <v>CO</v>
          </cell>
          <cell r="C2026" t="str">
            <v>EVALUADORES DE LA CONFORMIDAD S.A.S</v>
          </cell>
        </row>
        <row r="2027">
          <cell r="A2027">
            <v>900341222</v>
          </cell>
          <cell r="B2027" t="str">
            <v>CO</v>
          </cell>
          <cell r="C2027" t="str">
            <v>CENTRO COMERCIAL Y EMPRESARIAL</v>
          </cell>
        </row>
        <row r="2028">
          <cell r="A2028">
            <v>900342223</v>
          </cell>
          <cell r="B2028" t="str">
            <v>CO</v>
          </cell>
          <cell r="C2028" t="str">
            <v>AUTOSERVICIO LA QUINTA SAS</v>
          </cell>
        </row>
        <row r="2029">
          <cell r="A2029">
            <v>900342297</v>
          </cell>
          <cell r="B2029" t="str">
            <v>CO</v>
          </cell>
          <cell r="C2029" t="str">
            <v>COMERCIALIZADORA ARTURO CALLE SAS</v>
          </cell>
        </row>
        <row r="2030">
          <cell r="A2030">
            <v>900342815</v>
          </cell>
          <cell r="B2030" t="str">
            <v>CO</v>
          </cell>
          <cell r="C2030" t="str">
            <v>DPE INGENIERIA S.A.</v>
          </cell>
        </row>
        <row r="2031">
          <cell r="A2031">
            <v>900344404</v>
          </cell>
          <cell r="B2031" t="str">
            <v>CO</v>
          </cell>
          <cell r="C2031" t="str">
            <v>COMPAÑIA HEG SAS</v>
          </cell>
        </row>
        <row r="2032">
          <cell r="A2032">
            <v>900345417</v>
          </cell>
          <cell r="B2032" t="str">
            <v>CO</v>
          </cell>
          <cell r="C2032" t="str">
            <v>GENUS FOR ALL SAS</v>
          </cell>
        </row>
        <row r="2033">
          <cell r="A2033">
            <v>900346046</v>
          </cell>
          <cell r="B2033" t="str">
            <v>CO</v>
          </cell>
          <cell r="C2033" t="str">
            <v>INVERJENOS SAS</v>
          </cell>
        </row>
        <row r="2034">
          <cell r="A2034">
            <v>900346853</v>
          </cell>
          <cell r="B2034" t="str">
            <v>CO</v>
          </cell>
          <cell r="C2034" t="str">
            <v>JOSHUA CAFE IRLANDES SAS</v>
          </cell>
        </row>
        <row r="2035">
          <cell r="A2035">
            <v>900349815</v>
          </cell>
          <cell r="B2035" t="str">
            <v>CO</v>
          </cell>
          <cell r="C2035" t="str">
            <v>INVERSIONES AUTOMOTRICES DE</v>
          </cell>
        </row>
        <row r="2036">
          <cell r="A2036">
            <v>900350561</v>
          </cell>
          <cell r="B2036" t="str">
            <v>CO</v>
          </cell>
          <cell r="C2036" t="str">
            <v>HOTEL SAN GABRIEL  INVERSIONES</v>
          </cell>
        </row>
        <row r="2037">
          <cell r="A2037">
            <v>900351602</v>
          </cell>
          <cell r="B2037" t="str">
            <v>CO</v>
          </cell>
          <cell r="C2037" t="str">
            <v>PUERTAS ELECTRICAS SAS</v>
          </cell>
        </row>
        <row r="2038">
          <cell r="A2038">
            <v>900353228</v>
          </cell>
          <cell r="B2038" t="str">
            <v>CO</v>
          </cell>
          <cell r="C2038" t="str">
            <v>ASADOS Y FRIJOLES EL MONTAÑERO</v>
          </cell>
        </row>
        <row r="2039">
          <cell r="A2039">
            <v>900353419</v>
          </cell>
          <cell r="B2039" t="str">
            <v>CO</v>
          </cell>
          <cell r="C2039" t="str">
            <v>SERVICENTRO CAPYBARA LIMITADA</v>
          </cell>
        </row>
        <row r="2040">
          <cell r="A2040">
            <v>900354507</v>
          </cell>
          <cell r="B2040" t="str">
            <v>CO</v>
          </cell>
          <cell r="C2040" t="str">
            <v>E&amp;G PROYECTOS DE INVERSION SAS</v>
          </cell>
        </row>
        <row r="2041">
          <cell r="A2041">
            <v>900355101</v>
          </cell>
          <cell r="B2041" t="str">
            <v>CO</v>
          </cell>
          <cell r="C2041" t="str">
            <v>GRAINGER COLOMBIA SAS</v>
          </cell>
        </row>
        <row r="2042">
          <cell r="A2042">
            <v>900355158</v>
          </cell>
          <cell r="B2042" t="str">
            <v>CO</v>
          </cell>
          <cell r="C2042" t="str">
            <v>ELECTRO JC SAS</v>
          </cell>
        </row>
        <row r="2043">
          <cell r="A2043">
            <v>900356121</v>
          </cell>
          <cell r="B2043" t="str">
            <v>CO</v>
          </cell>
          <cell r="C2043" t="str">
            <v>PSI SYNERGY SAS</v>
          </cell>
        </row>
        <row r="2044">
          <cell r="A2044">
            <v>900356154</v>
          </cell>
          <cell r="B2044" t="str">
            <v>CO</v>
          </cell>
          <cell r="C2044" t="str">
            <v>KARPALO SAS</v>
          </cell>
        </row>
        <row r="2045">
          <cell r="A2045">
            <v>900356900</v>
          </cell>
          <cell r="B2045" t="str">
            <v>CO</v>
          </cell>
          <cell r="C2045" t="str">
            <v>ASADERO LA TOTUMA SAS</v>
          </cell>
        </row>
        <row r="2046">
          <cell r="A2046">
            <v>900359867</v>
          </cell>
          <cell r="B2046" t="str">
            <v>CO</v>
          </cell>
          <cell r="C2046" t="str">
            <v>OLIVA MEDITERRANEA</v>
          </cell>
        </row>
        <row r="2047">
          <cell r="A2047">
            <v>900360818</v>
          </cell>
          <cell r="B2047" t="str">
            <v>CO</v>
          </cell>
          <cell r="C2047" t="str">
            <v>CONSORCIO PIL LETINGEL</v>
          </cell>
        </row>
        <row r="2048">
          <cell r="A2048">
            <v>900362136</v>
          </cell>
          <cell r="B2048" t="str">
            <v>CO</v>
          </cell>
          <cell r="C2048" t="str">
            <v>TRACTOCAMIONES DE COLOMBIA SAS</v>
          </cell>
        </row>
        <row r="2049">
          <cell r="A2049">
            <v>900364745</v>
          </cell>
          <cell r="B2049" t="str">
            <v>CO</v>
          </cell>
          <cell r="C2049" t="str">
            <v>CONSORCIO SLACOL</v>
          </cell>
        </row>
        <row r="2050">
          <cell r="A2050">
            <v>900365860</v>
          </cell>
          <cell r="B2050" t="str">
            <v>CO</v>
          </cell>
          <cell r="C2050" t="str">
            <v>TIENDA HIDRAULICA SAS</v>
          </cell>
        </row>
        <row r="2051">
          <cell r="A2051">
            <v>900369038</v>
          </cell>
          <cell r="B2051" t="str">
            <v>CO</v>
          </cell>
          <cell r="C2051" t="str">
            <v>CONSORCIO SANTELLI</v>
          </cell>
        </row>
        <row r="2052">
          <cell r="A2052">
            <v>900369519</v>
          </cell>
          <cell r="B2052" t="str">
            <v>CO</v>
          </cell>
          <cell r="C2052" t="str">
            <v>UPPER F &amp; E LTDA</v>
          </cell>
        </row>
        <row r="2053">
          <cell r="A2053">
            <v>900372445</v>
          </cell>
          <cell r="B2053" t="str">
            <v>CO</v>
          </cell>
          <cell r="C2053" t="str">
            <v>ICE MAN SERVICE LIMITADA</v>
          </cell>
        </row>
        <row r="2054">
          <cell r="A2054">
            <v>900374437</v>
          </cell>
          <cell r="B2054" t="str">
            <v>CO</v>
          </cell>
          <cell r="C2054" t="str">
            <v>CDA LOS CENTAUROS SAS</v>
          </cell>
        </row>
        <row r="2055">
          <cell r="A2055">
            <v>900374528</v>
          </cell>
          <cell r="B2055" t="str">
            <v>CO</v>
          </cell>
          <cell r="C2055" t="str">
            <v>SERVIEQUIPOS COLOMBIA SAS</v>
          </cell>
        </row>
        <row r="2056">
          <cell r="A2056">
            <v>900374578</v>
          </cell>
          <cell r="B2056" t="str">
            <v>CO</v>
          </cell>
          <cell r="C2056" t="str">
            <v>FABRICACIONES MAC SAS</v>
          </cell>
        </row>
        <row r="2057">
          <cell r="A2057">
            <v>900375777</v>
          </cell>
          <cell r="B2057" t="str">
            <v>CO</v>
          </cell>
          <cell r="C2057" t="str">
            <v>INVERSIONES CORCAD SAS</v>
          </cell>
        </row>
        <row r="2058">
          <cell r="A2058">
            <v>900376030</v>
          </cell>
          <cell r="B2058" t="str">
            <v>CO</v>
          </cell>
          <cell r="C2058" t="str">
            <v>HOTELES BRISAS DEL OASIS SAS</v>
          </cell>
        </row>
        <row r="2059">
          <cell r="A2059">
            <v>900376301</v>
          </cell>
          <cell r="B2059" t="str">
            <v>CO</v>
          </cell>
          <cell r="C2059" t="str">
            <v>POWER GENERATION TECHNOLOGY SAS</v>
          </cell>
        </row>
        <row r="2060">
          <cell r="A2060">
            <v>900378558</v>
          </cell>
          <cell r="B2060" t="str">
            <v>CO</v>
          </cell>
          <cell r="C2060" t="str">
            <v>SANTA BARBARA HOTELES SAS</v>
          </cell>
        </row>
        <row r="2061">
          <cell r="A2061">
            <v>900379436</v>
          </cell>
          <cell r="B2061" t="str">
            <v>CO</v>
          </cell>
          <cell r="C2061" t="str">
            <v>TRANSPORTES MORENO SAENZ LTDA</v>
          </cell>
        </row>
        <row r="2062">
          <cell r="A2062">
            <v>900379445</v>
          </cell>
          <cell r="B2062" t="str">
            <v>CO</v>
          </cell>
          <cell r="C2062" t="str">
            <v>IPS SO EMPRESARIAL SAS</v>
          </cell>
        </row>
        <row r="2063">
          <cell r="A2063">
            <v>900379534</v>
          </cell>
          <cell r="B2063" t="str">
            <v>CO</v>
          </cell>
          <cell r="C2063" t="str">
            <v>INVERSIONES EUROVEN SAS</v>
          </cell>
        </row>
        <row r="2064">
          <cell r="A2064">
            <v>900380801</v>
          </cell>
          <cell r="B2064" t="str">
            <v>CO</v>
          </cell>
          <cell r="C2064" t="str">
            <v>INSTRUCAL LTDA</v>
          </cell>
        </row>
        <row r="2065">
          <cell r="A2065">
            <v>900381346</v>
          </cell>
          <cell r="B2065" t="str">
            <v>CO</v>
          </cell>
          <cell r="C2065" t="str">
            <v>HOTELES SAN SILVESTRE SAS</v>
          </cell>
        </row>
        <row r="2066">
          <cell r="A2066">
            <v>900381565</v>
          </cell>
          <cell r="B2066" t="str">
            <v>CO</v>
          </cell>
          <cell r="C2066" t="str">
            <v>MANTETRONIC S.A.S</v>
          </cell>
        </row>
        <row r="2067">
          <cell r="A2067">
            <v>900382268</v>
          </cell>
          <cell r="B2067" t="str">
            <v>CO</v>
          </cell>
          <cell r="C2067" t="str">
            <v>PLANET CARGO OPERADOR LOGISTICO SAS</v>
          </cell>
        </row>
        <row r="2068">
          <cell r="A2068">
            <v>900382920</v>
          </cell>
          <cell r="B2068" t="str">
            <v>CO</v>
          </cell>
          <cell r="C2068" t="str">
            <v>APOLO LOGISTICS</v>
          </cell>
        </row>
        <row r="2069">
          <cell r="A2069">
            <v>900383283</v>
          </cell>
          <cell r="B2069" t="str">
            <v>CO</v>
          </cell>
          <cell r="C2069" t="str">
            <v>GAM COLOMBIA S.A.S</v>
          </cell>
        </row>
        <row r="2070">
          <cell r="A2070">
            <v>900386390</v>
          </cell>
          <cell r="B2070" t="str">
            <v>CO</v>
          </cell>
          <cell r="C2070" t="str">
            <v>INNOVA SUPPLIES SAS</v>
          </cell>
        </row>
        <row r="2071">
          <cell r="A2071">
            <v>900387947</v>
          </cell>
          <cell r="B2071" t="str">
            <v>CO</v>
          </cell>
          <cell r="C2071" t="str">
            <v>AGRO FILTER DEL LLANO SAS</v>
          </cell>
        </row>
        <row r="2072">
          <cell r="A2072">
            <v>900388292</v>
          </cell>
          <cell r="B2072" t="str">
            <v>CO</v>
          </cell>
          <cell r="C2072" t="str">
            <v>MODYMARCA SAS</v>
          </cell>
        </row>
        <row r="2073">
          <cell r="A2073">
            <v>900389880</v>
          </cell>
          <cell r="B2073" t="str">
            <v>CO</v>
          </cell>
          <cell r="C2073" t="str">
            <v>DISTRIBUIDORA COMERCIAL DIOREY LTDA</v>
          </cell>
        </row>
        <row r="2074">
          <cell r="A2074">
            <v>900393571</v>
          </cell>
          <cell r="B2074" t="str">
            <v>CO</v>
          </cell>
          <cell r="C2074" t="str">
            <v>EDS EL GATO SAS</v>
          </cell>
        </row>
        <row r="2075">
          <cell r="A2075">
            <v>900394768</v>
          </cell>
          <cell r="B2075" t="str">
            <v>CO</v>
          </cell>
          <cell r="C2075" t="str">
            <v>INVERSIONES HOTELES OTERO LEON SAS</v>
          </cell>
        </row>
        <row r="2076">
          <cell r="A2076">
            <v>900396091</v>
          </cell>
          <cell r="B2076" t="str">
            <v>CO</v>
          </cell>
          <cell r="C2076" t="str">
            <v>VP ENERGY SERVICE COLOMBIA LTDA</v>
          </cell>
        </row>
        <row r="2077">
          <cell r="A2077">
            <v>900396759</v>
          </cell>
          <cell r="B2077" t="str">
            <v>CO</v>
          </cell>
          <cell r="C2077" t="str">
            <v>CHILCO DISTRIBUIDORA DE GAS Y</v>
          </cell>
        </row>
        <row r="2078">
          <cell r="A2078">
            <v>900397015</v>
          </cell>
          <cell r="B2078" t="str">
            <v>CO</v>
          </cell>
          <cell r="C2078" t="str">
            <v>FERRETERIA INSTUVALCO LTDA</v>
          </cell>
        </row>
        <row r="2079">
          <cell r="A2079">
            <v>900398030</v>
          </cell>
          <cell r="B2079" t="str">
            <v>CO</v>
          </cell>
          <cell r="C2079" t="str">
            <v>IMPORTFOOD SAS</v>
          </cell>
        </row>
        <row r="2080">
          <cell r="A2080">
            <v>900398132</v>
          </cell>
          <cell r="B2080" t="str">
            <v>CO</v>
          </cell>
          <cell r="C2080" t="str">
            <v>MATCAS SAS</v>
          </cell>
        </row>
        <row r="2081">
          <cell r="A2081">
            <v>900399161</v>
          </cell>
          <cell r="B2081" t="str">
            <v>CO</v>
          </cell>
          <cell r="C2081" t="str">
            <v>TORRE AMADEUS</v>
          </cell>
        </row>
        <row r="2082">
          <cell r="A2082">
            <v>900406003</v>
          </cell>
          <cell r="B2082" t="str">
            <v>CO</v>
          </cell>
          <cell r="C2082" t="str">
            <v>CARROCERIAS ATLANTIS S.A.S</v>
          </cell>
        </row>
        <row r="2083">
          <cell r="A2083">
            <v>900408221</v>
          </cell>
          <cell r="B2083" t="str">
            <v>CO</v>
          </cell>
          <cell r="C2083" t="str">
            <v>EDIFICIO FIRENZE PH</v>
          </cell>
        </row>
        <row r="2084">
          <cell r="A2084">
            <v>900409000</v>
          </cell>
          <cell r="B2084" t="str">
            <v>CO</v>
          </cell>
          <cell r="C2084" t="str">
            <v>FM EXPRESS SAS</v>
          </cell>
        </row>
        <row r="2085">
          <cell r="A2085">
            <v>900410997</v>
          </cell>
          <cell r="B2085" t="str">
            <v>CO</v>
          </cell>
          <cell r="C2085" t="str">
            <v>SOLUCIONES 360 SAS</v>
          </cell>
        </row>
        <row r="2086">
          <cell r="A2086">
            <v>900414105</v>
          </cell>
          <cell r="B2086" t="str">
            <v>CO</v>
          </cell>
          <cell r="C2086" t="str">
            <v>EDS PETROBRAS LA LEONA</v>
          </cell>
        </row>
        <row r="2087">
          <cell r="A2087">
            <v>900415614</v>
          </cell>
          <cell r="B2087" t="str">
            <v>CO</v>
          </cell>
          <cell r="C2087" t="str">
            <v>COMERCIALIZADORA RUGOZ</v>
          </cell>
        </row>
        <row r="2088">
          <cell r="A2088">
            <v>900416002</v>
          </cell>
          <cell r="B2088" t="str">
            <v>CO</v>
          </cell>
          <cell r="C2088" t="str">
            <v>UD SOLUTION SAS</v>
          </cell>
        </row>
        <row r="2089">
          <cell r="A2089">
            <v>900416879</v>
          </cell>
          <cell r="B2089" t="str">
            <v>CO</v>
          </cell>
          <cell r="C2089" t="str">
            <v>COMPAÑIA NACIONAL DE CARGA</v>
          </cell>
        </row>
        <row r="2090">
          <cell r="A2090">
            <v>900417703</v>
          </cell>
          <cell r="B2090" t="str">
            <v>CO</v>
          </cell>
          <cell r="C2090" t="str">
            <v>GEO REFERENCIA INGENIERIA SAS</v>
          </cell>
        </row>
        <row r="2091">
          <cell r="A2091">
            <v>900418206</v>
          </cell>
          <cell r="B2091" t="str">
            <v>CO</v>
          </cell>
          <cell r="C2091" t="str">
            <v>SERVI EXPRESS DEL META SAS</v>
          </cell>
        </row>
        <row r="2092">
          <cell r="A2092">
            <v>900419407</v>
          </cell>
          <cell r="B2092" t="str">
            <v>CO</v>
          </cell>
          <cell r="C2092" t="str">
            <v>INVERSIONES EL CENTRO SAS</v>
          </cell>
        </row>
        <row r="2093">
          <cell r="A2093">
            <v>900421392</v>
          </cell>
          <cell r="B2093" t="str">
            <v>CO</v>
          </cell>
          <cell r="C2093" t="str">
            <v>PROYECTOS CORPECOL SAS</v>
          </cell>
        </row>
        <row r="2094">
          <cell r="A2094">
            <v>900421576</v>
          </cell>
          <cell r="B2094" t="str">
            <v>CO</v>
          </cell>
          <cell r="C2094" t="str">
            <v>AFAL MULTISERVICIOS SAS</v>
          </cell>
        </row>
        <row r="2095">
          <cell r="A2095">
            <v>900427640</v>
          </cell>
          <cell r="B2095" t="str">
            <v>CO</v>
          </cell>
          <cell r="C2095" t="str">
            <v>CAB INSTRUMENTOS Y CONTROLES SAS</v>
          </cell>
        </row>
        <row r="2096">
          <cell r="A2096">
            <v>900428750</v>
          </cell>
          <cell r="B2096" t="str">
            <v>CO</v>
          </cell>
          <cell r="C2096" t="str">
            <v>VARIEDADES ELECTRICAS JR SAS</v>
          </cell>
        </row>
        <row r="2097">
          <cell r="A2097">
            <v>900429367</v>
          </cell>
          <cell r="B2097" t="str">
            <v>CO</v>
          </cell>
          <cell r="C2097" t="str">
            <v>ASIAN BISTRO COLOMBIA S.A.S</v>
          </cell>
        </row>
        <row r="2098">
          <cell r="A2098">
            <v>900430151</v>
          </cell>
          <cell r="B2098" t="str">
            <v>CO</v>
          </cell>
          <cell r="C2098" t="str">
            <v>EATON INDUSTRIES COLOMBIA SAS</v>
          </cell>
        </row>
        <row r="2099">
          <cell r="A2099">
            <v>900430756</v>
          </cell>
          <cell r="B2099" t="str">
            <v>CO</v>
          </cell>
          <cell r="C2099" t="str">
            <v>DATADESIGN INTERNATIONAL GROUP SAS</v>
          </cell>
        </row>
        <row r="2100">
          <cell r="A2100">
            <v>900432676</v>
          </cell>
          <cell r="B2100" t="str">
            <v>CO</v>
          </cell>
          <cell r="C2100" t="str">
            <v>GRUPO ORION COLOMBIANO SAS</v>
          </cell>
        </row>
        <row r="2101">
          <cell r="A2101">
            <v>900434057</v>
          </cell>
          <cell r="B2101" t="str">
            <v>CO</v>
          </cell>
          <cell r="C2101" t="str">
            <v>PROMOTORA BELLATRIX SAS</v>
          </cell>
        </row>
        <row r="2102">
          <cell r="A2102">
            <v>900434109</v>
          </cell>
          <cell r="B2102" t="str">
            <v>CO</v>
          </cell>
          <cell r="C2102" t="str">
            <v>COMERCIALIZADORA LA GRAN ESTACION</v>
          </cell>
        </row>
        <row r="2103">
          <cell r="A2103">
            <v>900435751</v>
          </cell>
          <cell r="B2103" t="str">
            <v>CO</v>
          </cell>
          <cell r="C2103" t="str">
            <v>FERRE H SANCHEZ</v>
          </cell>
        </row>
        <row r="2104">
          <cell r="A2104">
            <v>900436141</v>
          </cell>
          <cell r="B2104" t="str">
            <v>CO</v>
          </cell>
          <cell r="C2104" t="str">
            <v>AUTOLAVADO PERSONALITY SAS</v>
          </cell>
        </row>
        <row r="2105">
          <cell r="A2105">
            <v>900436538</v>
          </cell>
          <cell r="B2105" t="str">
            <v>CO</v>
          </cell>
          <cell r="C2105" t="str">
            <v>COPROPIEDAD CENTRO EMPRESARIAL</v>
          </cell>
        </row>
        <row r="2106">
          <cell r="A2106">
            <v>900438024</v>
          </cell>
          <cell r="B2106" t="str">
            <v>CO</v>
          </cell>
          <cell r="C2106" t="str">
            <v>EL GRAN TALISMAN SAS</v>
          </cell>
        </row>
        <row r="2107">
          <cell r="A2107">
            <v>900438158</v>
          </cell>
          <cell r="B2107" t="str">
            <v>CO</v>
          </cell>
          <cell r="C2107" t="str">
            <v>CONSORCIO ZAPATOSA</v>
          </cell>
        </row>
        <row r="2108">
          <cell r="A2108">
            <v>900438919</v>
          </cell>
          <cell r="B2108" t="str">
            <v>CO</v>
          </cell>
          <cell r="C2108" t="str">
            <v>CONSORCIO PIL - OML</v>
          </cell>
        </row>
        <row r="2109">
          <cell r="A2109">
            <v>900438928</v>
          </cell>
          <cell r="B2109" t="str">
            <v>CO</v>
          </cell>
          <cell r="C2109" t="str">
            <v>CONSORCIO PIL-PROCTECK</v>
          </cell>
        </row>
        <row r="2110">
          <cell r="A2110">
            <v>900441581</v>
          </cell>
          <cell r="B2110" t="str">
            <v>CO</v>
          </cell>
          <cell r="C2110" t="str">
            <v>VBQ TECNOLOGIAS SAS</v>
          </cell>
        </row>
        <row r="2111">
          <cell r="A2111">
            <v>900442150</v>
          </cell>
          <cell r="B2111" t="str">
            <v>CO</v>
          </cell>
          <cell r="C2111" t="str">
            <v>GTECH SAS</v>
          </cell>
        </row>
        <row r="2112">
          <cell r="A2112">
            <v>900442305</v>
          </cell>
          <cell r="B2112" t="str">
            <v>CO</v>
          </cell>
          <cell r="C2112" t="str">
            <v>TRADUCCIONES &amp; SERVICIOS S.A.S.</v>
          </cell>
        </row>
        <row r="2113">
          <cell r="A2113">
            <v>900442403</v>
          </cell>
          <cell r="B2113" t="str">
            <v>CO</v>
          </cell>
          <cell r="C2113" t="str">
            <v>HOTEL GUAMAL PLAZA</v>
          </cell>
        </row>
        <row r="2114">
          <cell r="A2114">
            <v>900445992</v>
          </cell>
          <cell r="B2114" t="str">
            <v>CO</v>
          </cell>
          <cell r="C2114" t="str">
            <v>FABRITORNILLOS SAS</v>
          </cell>
        </row>
        <row r="2115">
          <cell r="A2115">
            <v>900446316</v>
          </cell>
          <cell r="B2115" t="str">
            <v>CO</v>
          </cell>
          <cell r="C2115" t="str">
            <v>COMERCIAL ALECTRICA LA 12 SAS</v>
          </cell>
        </row>
        <row r="2116">
          <cell r="A2116">
            <v>900448552</v>
          </cell>
          <cell r="B2116" t="str">
            <v>CO</v>
          </cell>
          <cell r="C2116" t="str">
            <v>COMERCIALIZADORA PUNTO FRIO SAS</v>
          </cell>
        </row>
        <row r="2117">
          <cell r="A2117">
            <v>900449427</v>
          </cell>
          <cell r="B2117" t="str">
            <v>CO</v>
          </cell>
          <cell r="C2117" t="str">
            <v>AMERICAN SUB SAS</v>
          </cell>
        </row>
        <row r="2118">
          <cell r="A2118">
            <v>900451075</v>
          </cell>
          <cell r="B2118" t="str">
            <v>CO</v>
          </cell>
          <cell r="C2118" t="str">
            <v>FERRINSEG SAS</v>
          </cell>
        </row>
        <row r="2119">
          <cell r="A2119">
            <v>900452484</v>
          </cell>
          <cell r="B2119" t="str">
            <v>CO</v>
          </cell>
          <cell r="C2119" t="str">
            <v>LA CASA DEL FILTRO VILLAVICENCIO</v>
          </cell>
        </row>
        <row r="2120">
          <cell r="A2120">
            <v>900452494</v>
          </cell>
          <cell r="B2120" t="str">
            <v>CO</v>
          </cell>
          <cell r="C2120" t="str">
            <v>CALIMA CENTRO COMERCIAL</v>
          </cell>
        </row>
        <row r="2121">
          <cell r="A2121">
            <v>900453162</v>
          </cell>
          <cell r="B2121" t="str">
            <v>CO</v>
          </cell>
          <cell r="C2121" t="str">
            <v>MUNDIAL DE PLACAS Y GRABADOS SAS</v>
          </cell>
        </row>
        <row r="2122">
          <cell r="A2122">
            <v>900453292</v>
          </cell>
          <cell r="B2122" t="str">
            <v>CO</v>
          </cell>
          <cell r="C2122" t="str">
            <v>M Y R ALIMENTOS Y PROGRAMAS</v>
          </cell>
        </row>
        <row r="2123">
          <cell r="A2123">
            <v>900456189</v>
          </cell>
          <cell r="B2123" t="str">
            <v>CO</v>
          </cell>
          <cell r="C2123" t="str">
            <v>FABRICACION Y COMERCIALIZACION</v>
          </cell>
        </row>
        <row r="2124">
          <cell r="A2124">
            <v>900458237</v>
          </cell>
          <cell r="B2124" t="str">
            <v>CO</v>
          </cell>
          <cell r="C2124" t="str">
            <v>HIDROCARBUROS BACATA SAS</v>
          </cell>
        </row>
        <row r="2125">
          <cell r="A2125">
            <v>900458532</v>
          </cell>
          <cell r="B2125" t="str">
            <v>CO</v>
          </cell>
          <cell r="C2125" t="str">
            <v>COINVER CORPORATION SAS</v>
          </cell>
        </row>
        <row r="2126">
          <cell r="A2126">
            <v>900459737</v>
          </cell>
          <cell r="B2126" t="str">
            <v>CO</v>
          </cell>
          <cell r="C2126" t="str">
            <v>GRUPO EDS AUTOGAS SAS</v>
          </cell>
        </row>
        <row r="2127">
          <cell r="A2127">
            <v>900460046</v>
          </cell>
          <cell r="B2127" t="str">
            <v>CO</v>
          </cell>
          <cell r="C2127" t="str">
            <v>PARQUE INDUSTRIAL TIBITOC P H</v>
          </cell>
        </row>
        <row r="2128">
          <cell r="A2128">
            <v>900461032</v>
          </cell>
          <cell r="B2128" t="str">
            <v>CO</v>
          </cell>
          <cell r="C2128" t="str">
            <v>USADITOS Y NUEVOS SAS</v>
          </cell>
        </row>
        <row r="2129">
          <cell r="A2129">
            <v>900461121</v>
          </cell>
          <cell r="B2129" t="str">
            <v>CO</v>
          </cell>
          <cell r="C2129" t="str">
            <v>AIRE ACONDICIONADO ARTICO E U</v>
          </cell>
        </row>
        <row r="2130">
          <cell r="A2130">
            <v>900462126</v>
          </cell>
          <cell r="B2130" t="str">
            <v>CO</v>
          </cell>
          <cell r="C2130" t="str">
            <v>OLGILVY ACTION SAS</v>
          </cell>
        </row>
        <row r="2131">
          <cell r="A2131">
            <v>900462447</v>
          </cell>
          <cell r="B2131" t="str">
            <v>CO</v>
          </cell>
          <cell r="C2131" t="str">
            <v>FOSYGA SA</v>
          </cell>
        </row>
        <row r="2132">
          <cell r="A2132">
            <v>900464311</v>
          </cell>
          <cell r="B2132" t="str">
            <v>CO</v>
          </cell>
          <cell r="C2132" t="str">
            <v>INGENIERIA EN CONTROL SAS</v>
          </cell>
        </row>
        <row r="2133">
          <cell r="A2133">
            <v>900470179</v>
          </cell>
          <cell r="B2133" t="str">
            <v>CO</v>
          </cell>
          <cell r="C2133" t="str">
            <v>CORTINAS EN BOGOTA S A S</v>
          </cell>
        </row>
        <row r="2134">
          <cell r="A2134">
            <v>900471395</v>
          </cell>
          <cell r="B2134" t="str">
            <v>CO</v>
          </cell>
          <cell r="C2134" t="str">
            <v>SUMIINDUSTRIALES SAS</v>
          </cell>
        </row>
        <row r="2135">
          <cell r="A2135">
            <v>900474031</v>
          </cell>
          <cell r="B2135" t="str">
            <v>CO</v>
          </cell>
          <cell r="C2135" t="str">
            <v>INDTECH SAS</v>
          </cell>
        </row>
        <row r="2136">
          <cell r="A2136">
            <v>900477235</v>
          </cell>
          <cell r="B2136" t="str">
            <v>CO</v>
          </cell>
          <cell r="C2136" t="str">
            <v>UNIDAD ADMINISTRATIVA ESPECIAL</v>
          </cell>
        </row>
        <row r="2137">
          <cell r="A2137">
            <v>900477363</v>
          </cell>
          <cell r="B2137" t="str">
            <v>CO</v>
          </cell>
          <cell r="C2137" t="str">
            <v>INCOPRO COLOMBIA S A S</v>
          </cell>
        </row>
        <row r="2138">
          <cell r="A2138">
            <v>900477874</v>
          </cell>
          <cell r="B2138" t="str">
            <v>CO</v>
          </cell>
          <cell r="C2138" t="str">
            <v>INVERSIONES DE LOS ANTICUARIOS</v>
          </cell>
        </row>
        <row r="2139">
          <cell r="A2139">
            <v>900479120</v>
          </cell>
          <cell r="B2139" t="str">
            <v>CO</v>
          </cell>
          <cell r="C2139" t="str">
            <v>DISTRIBUIDOR EL HUECO SAS</v>
          </cell>
        </row>
        <row r="2140">
          <cell r="A2140">
            <v>900482534</v>
          </cell>
          <cell r="B2140" t="str">
            <v>CO</v>
          </cell>
          <cell r="C2140" t="str">
            <v>IMIABECA COLOMBIA SAS</v>
          </cell>
        </row>
        <row r="2141">
          <cell r="A2141">
            <v>900483158</v>
          </cell>
          <cell r="B2141" t="str">
            <v>CO</v>
          </cell>
          <cell r="C2141" t="str">
            <v>MAGDALENA SUPERMERCADO SAS</v>
          </cell>
        </row>
        <row r="2142">
          <cell r="A2142">
            <v>900485642</v>
          </cell>
          <cell r="B2142" t="str">
            <v>CO</v>
          </cell>
          <cell r="C2142" t="str">
            <v>IMPORTADORA REPUESTOS TORNILLOS</v>
          </cell>
        </row>
        <row r="2143">
          <cell r="A2143">
            <v>900486343</v>
          </cell>
          <cell r="B2143" t="str">
            <v>CO</v>
          </cell>
          <cell r="C2143" t="str">
            <v>OPTIMAXBRIGADAS SAS</v>
          </cell>
        </row>
        <row r="2144">
          <cell r="A2144">
            <v>900487314</v>
          </cell>
          <cell r="B2144" t="str">
            <v>CO</v>
          </cell>
          <cell r="C2144" t="str">
            <v>OROCAM SAS</v>
          </cell>
        </row>
        <row r="2145">
          <cell r="A2145">
            <v>900487804</v>
          </cell>
          <cell r="B2145" t="str">
            <v>CO</v>
          </cell>
          <cell r="C2145" t="str">
            <v>C &amp; C CONSULTORIA SAS</v>
          </cell>
        </row>
        <row r="2146">
          <cell r="A2146">
            <v>900488136</v>
          </cell>
          <cell r="B2146" t="str">
            <v>CO</v>
          </cell>
          <cell r="C2146" t="str">
            <v>INVERSIONES FRAMAL SAS</v>
          </cell>
        </row>
        <row r="2147">
          <cell r="A2147">
            <v>900491889</v>
          </cell>
          <cell r="B2147" t="str">
            <v>CO</v>
          </cell>
          <cell r="C2147" t="str">
            <v>EDS TERMINAL NEIVA</v>
          </cell>
        </row>
        <row r="2148">
          <cell r="A2148">
            <v>900493143</v>
          </cell>
          <cell r="B2148" t="str">
            <v>CO</v>
          </cell>
          <cell r="C2148" t="str">
            <v>PROVEEL S.A.S.</v>
          </cell>
        </row>
        <row r="2149">
          <cell r="A2149">
            <v>900494549</v>
          </cell>
          <cell r="B2149" t="str">
            <v>CO</v>
          </cell>
          <cell r="C2149" t="str">
            <v>CARS PROJECTS SAS</v>
          </cell>
        </row>
        <row r="2150">
          <cell r="A2150">
            <v>900495917</v>
          </cell>
          <cell r="B2150" t="str">
            <v>CO</v>
          </cell>
          <cell r="C2150" t="str">
            <v>IGUANASO SAS</v>
          </cell>
        </row>
        <row r="2151">
          <cell r="A2151">
            <v>900496140</v>
          </cell>
          <cell r="B2151" t="str">
            <v>CO</v>
          </cell>
          <cell r="C2151" t="str">
            <v>PUNTO CHOLANDIA SAS</v>
          </cell>
        </row>
        <row r="2152">
          <cell r="A2152">
            <v>900498333</v>
          </cell>
          <cell r="B2152" t="str">
            <v>CO</v>
          </cell>
          <cell r="C2152" t="str">
            <v>MASTERSUB SAS</v>
          </cell>
        </row>
        <row r="2153">
          <cell r="A2153">
            <v>900504633</v>
          </cell>
          <cell r="B2153" t="str">
            <v>CO</v>
          </cell>
          <cell r="C2153" t="str">
            <v>BOM SUB SAS</v>
          </cell>
        </row>
        <row r="2154">
          <cell r="A2154">
            <v>900506795</v>
          </cell>
          <cell r="B2154" t="str">
            <v>CO</v>
          </cell>
          <cell r="C2154" t="str">
            <v>INGESOCOL INGENIERIA SALUD</v>
          </cell>
        </row>
        <row r="2155">
          <cell r="A2155">
            <v>900507846</v>
          </cell>
          <cell r="B2155" t="str">
            <v>CO</v>
          </cell>
          <cell r="C2155" t="str">
            <v>PROYFER S.A.S</v>
          </cell>
        </row>
        <row r="2156">
          <cell r="A2156">
            <v>900508553</v>
          </cell>
          <cell r="B2156" t="str">
            <v>CO</v>
          </cell>
          <cell r="C2156" t="str">
            <v>TRADE CONNECTION ENERGY S.A.S</v>
          </cell>
        </row>
        <row r="2157">
          <cell r="A2157">
            <v>900510369</v>
          </cell>
          <cell r="B2157" t="str">
            <v>CO</v>
          </cell>
          <cell r="C2157" t="str">
            <v>AB STUDIO S.A.S.</v>
          </cell>
        </row>
        <row r="2158">
          <cell r="A2158">
            <v>900510768</v>
          </cell>
          <cell r="B2158" t="str">
            <v>CO</v>
          </cell>
          <cell r="C2158" t="str">
            <v>SOLUCIONES INTEGRALES</v>
          </cell>
        </row>
        <row r="2159">
          <cell r="A2159">
            <v>900511499</v>
          </cell>
          <cell r="B2159" t="str">
            <v>CO</v>
          </cell>
          <cell r="C2159" t="str">
            <v>DEPOSITO LA CIRA SAS</v>
          </cell>
        </row>
        <row r="2160">
          <cell r="A2160">
            <v>900511601</v>
          </cell>
          <cell r="B2160" t="str">
            <v>CO</v>
          </cell>
          <cell r="C2160" t="str">
            <v>DIPLOMAT WYNDHAM GARDEN</v>
          </cell>
        </row>
        <row r="2161">
          <cell r="A2161">
            <v>900513267</v>
          </cell>
          <cell r="B2161" t="str">
            <v>CO</v>
          </cell>
          <cell r="C2161" t="str">
            <v>DISTRIBUIDORA OPEN OIL SIBERIA SAS</v>
          </cell>
        </row>
        <row r="2162">
          <cell r="A2162">
            <v>900514678</v>
          </cell>
          <cell r="B2162" t="str">
            <v>CO</v>
          </cell>
          <cell r="C2162" t="str">
            <v>CELTAR PROCESOS AUTOMATICOS SAS</v>
          </cell>
        </row>
        <row r="2163">
          <cell r="A2163">
            <v>900515173</v>
          </cell>
          <cell r="B2163" t="str">
            <v>CO</v>
          </cell>
          <cell r="C2163" t="str">
            <v>VPL DEL LLANO SAS</v>
          </cell>
        </row>
        <row r="2164">
          <cell r="A2164">
            <v>900515214</v>
          </cell>
          <cell r="B2164" t="str">
            <v>CO</v>
          </cell>
          <cell r="C2164" t="str">
            <v>SPORTING COLOMBIA SAS</v>
          </cell>
        </row>
        <row r="2165">
          <cell r="A2165">
            <v>900517316</v>
          </cell>
          <cell r="B2165" t="str">
            <v>CO</v>
          </cell>
          <cell r="C2165" t="str">
            <v>BLENDS SAS</v>
          </cell>
        </row>
        <row r="2166">
          <cell r="A2166">
            <v>900517371</v>
          </cell>
          <cell r="B2166" t="str">
            <v>CO</v>
          </cell>
          <cell r="C2166" t="str">
            <v>C&amp;C FOODS S.A.S.</v>
          </cell>
        </row>
        <row r="2167">
          <cell r="A2167">
            <v>900518121</v>
          </cell>
          <cell r="B2167" t="str">
            <v>CO</v>
          </cell>
          <cell r="C2167" t="str">
            <v>GER SAS</v>
          </cell>
        </row>
        <row r="2168">
          <cell r="A2168">
            <v>900520649</v>
          </cell>
          <cell r="B2168" t="str">
            <v>CO</v>
          </cell>
          <cell r="C2168" t="str">
            <v>HOTELES CACIQUE INTERNACIONAL SAS</v>
          </cell>
        </row>
        <row r="2169">
          <cell r="A2169">
            <v>900521638</v>
          </cell>
          <cell r="B2169" t="str">
            <v>CO</v>
          </cell>
          <cell r="C2169" t="str">
            <v>PEPINOS RESTAURANTE BAR SAS</v>
          </cell>
        </row>
        <row r="2170">
          <cell r="A2170">
            <v>900524106</v>
          </cell>
          <cell r="B2170" t="str">
            <v>CO</v>
          </cell>
          <cell r="C2170" t="str">
            <v>INVERSIONES LATINO Y ORIENTAL SAS</v>
          </cell>
        </row>
        <row r="2171">
          <cell r="A2171">
            <v>900525635</v>
          </cell>
          <cell r="B2171" t="str">
            <v>CO</v>
          </cell>
          <cell r="C2171" t="str">
            <v>INVERSIONES T&amp;S COM SAS</v>
          </cell>
        </row>
        <row r="2172">
          <cell r="A2172">
            <v>900526360</v>
          </cell>
          <cell r="B2172" t="str">
            <v>CO</v>
          </cell>
          <cell r="C2172" t="str">
            <v>SUSHI RAIL SAS</v>
          </cell>
        </row>
        <row r="2173">
          <cell r="A2173">
            <v>900528151</v>
          </cell>
          <cell r="B2173" t="str">
            <v>CO</v>
          </cell>
          <cell r="C2173" t="str">
            <v>DOTAEXCOL SAS</v>
          </cell>
        </row>
        <row r="2174">
          <cell r="A2174">
            <v>900529261</v>
          </cell>
          <cell r="B2174" t="str">
            <v>CO</v>
          </cell>
          <cell r="C2174" t="str">
            <v>MANPOWER COMPAÑIA INTEGRAL</v>
          </cell>
        </row>
        <row r="2175">
          <cell r="A2175">
            <v>900532486</v>
          </cell>
          <cell r="B2175" t="str">
            <v>CO</v>
          </cell>
          <cell r="C2175" t="str">
            <v>ROZO &amp; ROZO S.A.S</v>
          </cell>
        </row>
        <row r="2176">
          <cell r="A2176">
            <v>900533033</v>
          </cell>
          <cell r="B2176" t="str">
            <v>CO</v>
          </cell>
          <cell r="C2176" t="str">
            <v>CAMBIOS NUEVO DORADO S.A.S.</v>
          </cell>
        </row>
        <row r="2177">
          <cell r="A2177">
            <v>900534711</v>
          </cell>
          <cell r="B2177" t="str">
            <v>CO</v>
          </cell>
          <cell r="C2177" t="str">
            <v>TITAN PLAZA CN COMERCIAL</v>
          </cell>
        </row>
        <row r="2178">
          <cell r="A2178">
            <v>900535552</v>
          </cell>
          <cell r="B2178" t="str">
            <v>CO</v>
          </cell>
          <cell r="C2178" t="str">
            <v>FERRETERIA MADRIGAL AP SAS</v>
          </cell>
        </row>
        <row r="2179">
          <cell r="A2179">
            <v>900538335</v>
          </cell>
          <cell r="B2179" t="str">
            <v>CO</v>
          </cell>
          <cell r="C2179" t="str">
            <v>CASTILLOS BARRANCA ASOCIADOS SAS</v>
          </cell>
        </row>
        <row r="2180">
          <cell r="A2180">
            <v>900542660</v>
          </cell>
          <cell r="B2180" t="str">
            <v>CO</v>
          </cell>
          <cell r="C2180" t="str">
            <v>COMERCIALIZADORA INTERNACIONAL J &amp;</v>
          </cell>
        </row>
        <row r="2181">
          <cell r="A2181">
            <v>900550754</v>
          </cell>
          <cell r="B2181" t="str">
            <v>CO</v>
          </cell>
          <cell r="C2181" t="str">
            <v>PANADERIA RESTAURANTE Y</v>
          </cell>
        </row>
        <row r="2182">
          <cell r="A2182">
            <v>900553258</v>
          </cell>
          <cell r="B2182" t="str">
            <v>CO</v>
          </cell>
          <cell r="C2182" t="str">
            <v>INVERSIONES ACAF SAS</v>
          </cell>
        </row>
        <row r="2183">
          <cell r="A2183">
            <v>900553563</v>
          </cell>
          <cell r="B2183" t="str">
            <v>CO</v>
          </cell>
          <cell r="C2183" t="str">
            <v>INVERSIONES GUARATARA S A S</v>
          </cell>
        </row>
        <row r="2184">
          <cell r="A2184">
            <v>900555212</v>
          </cell>
          <cell r="B2184" t="str">
            <v>CO</v>
          </cell>
          <cell r="C2184" t="str">
            <v>CENTRO DE MANTENIMIENTO DE</v>
          </cell>
        </row>
        <row r="2185">
          <cell r="A2185">
            <v>900560405</v>
          </cell>
          <cell r="B2185" t="str">
            <v>CO</v>
          </cell>
          <cell r="C2185" t="str">
            <v>ADIS SAS</v>
          </cell>
        </row>
        <row r="2186">
          <cell r="A2186">
            <v>900564737</v>
          </cell>
          <cell r="B2186" t="str">
            <v>CO</v>
          </cell>
          <cell r="C2186" t="str">
            <v>PROVICAPITAL PARTNERS</v>
          </cell>
        </row>
        <row r="2187">
          <cell r="A2187">
            <v>900565189</v>
          </cell>
          <cell r="B2187" t="str">
            <v>CO</v>
          </cell>
          <cell r="C2187" t="str">
            <v>ALMACEN ELECTRICO Y TALLER MENDOZA</v>
          </cell>
        </row>
        <row r="2188">
          <cell r="A2188">
            <v>900568888</v>
          </cell>
          <cell r="B2188" t="str">
            <v>CO</v>
          </cell>
          <cell r="C2188" t="str">
            <v>ET CONTROL SAS</v>
          </cell>
        </row>
        <row r="2189">
          <cell r="A2189">
            <v>900569253</v>
          </cell>
          <cell r="B2189" t="str">
            <v>CO</v>
          </cell>
          <cell r="C2189" t="str">
            <v>POWER ELECTRIC S.A.S</v>
          </cell>
        </row>
        <row r="2190">
          <cell r="A2190">
            <v>900569420</v>
          </cell>
          <cell r="B2190" t="str">
            <v>CO</v>
          </cell>
          <cell r="C2190" t="str">
            <v>PGT INTERNATIONAL SAS</v>
          </cell>
        </row>
        <row r="2191">
          <cell r="A2191">
            <v>900569654</v>
          </cell>
          <cell r="B2191" t="str">
            <v>CO</v>
          </cell>
          <cell r="C2191" t="str">
            <v>AMIGOS DE CATALONIA SAS</v>
          </cell>
        </row>
        <row r="2192">
          <cell r="A2192">
            <v>900570119</v>
          </cell>
          <cell r="B2192" t="str">
            <v>CO</v>
          </cell>
          <cell r="C2192" t="str">
            <v>FERREPERFILES LA ROCA S.A.S</v>
          </cell>
        </row>
        <row r="2193">
          <cell r="A2193">
            <v>900570681</v>
          </cell>
          <cell r="B2193" t="str">
            <v>CO</v>
          </cell>
          <cell r="C2193" t="str">
            <v>VERTISUB COLOMBIA S.A.S</v>
          </cell>
        </row>
        <row r="2194">
          <cell r="A2194">
            <v>900575877</v>
          </cell>
          <cell r="B2194" t="str">
            <v>CO</v>
          </cell>
          <cell r="C2194" t="str">
            <v>SUNTRUST SAS</v>
          </cell>
        </row>
        <row r="2195">
          <cell r="A2195">
            <v>900576641</v>
          </cell>
          <cell r="B2195" t="str">
            <v>CO</v>
          </cell>
          <cell r="C2195" t="str">
            <v>TORNILLOS DEL META SAS</v>
          </cell>
        </row>
        <row r="2196">
          <cell r="A2196">
            <v>900578506</v>
          </cell>
          <cell r="B2196" t="str">
            <v>CO</v>
          </cell>
          <cell r="C2196" t="str">
            <v>LA POSTA RESTAURANTE PARRILLA BAR</v>
          </cell>
        </row>
        <row r="2197">
          <cell r="A2197">
            <v>900579793</v>
          </cell>
          <cell r="B2197" t="str">
            <v>CO</v>
          </cell>
          <cell r="C2197" t="str">
            <v>IMPALA TERMINALS BARRANCABERMEJA</v>
          </cell>
        </row>
        <row r="2198">
          <cell r="A2198">
            <v>900581756</v>
          </cell>
          <cell r="B2198" t="str">
            <v>CO</v>
          </cell>
          <cell r="C2198" t="str">
            <v>TIENDA MAXPRINTER SAS</v>
          </cell>
        </row>
        <row r="2199">
          <cell r="A2199">
            <v>900582464</v>
          </cell>
          <cell r="B2199" t="str">
            <v>CO</v>
          </cell>
          <cell r="C2199" t="str">
            <v>CENTRO PINTUCOLOR SAS</v>
          </cell>
        </row>
        <row r="2200">
          <cell r="A2200">
            <v>900583234</v>
          </cell>
          <cell r="B2200" t="str">
            <v>CO</v>
          </cell>
          <cell r="C2200" t="str">
            <v>FERRETERIA Y EQUIPOS MG SAS</v>
          </cell>
        </row>
        <row r="2201">
          <cell r="A2201">
            <v>900584613</v>
          </cell>
          <cell r="B2201" t="str">
            <v>CO</v>
          </cell>
          <cell r="C2201" t="str">
            <v>CONSTRUIMOS Y ELECTRIFICAMOS SAS</v>
          </cell>
        </row>
        <row r="2202">
          <cell r="A2202">
            <v>900585633</v>
          </cell>
          <cell r="B2202" t="str">
            <v>CO</v>
          </cell>
          <cell r="C2202" t="str">
            <v>RESTAURANTE MERCAGAN PARRILLA SAS</v>
          </cell>
        </row>
        <row r="2203">
          <cell r="A2203">
            <v>900589389</v>
          </cell>
          <cell r="B2203" t="str">
            <v>CO</v>
          </cell>
          <cell r="C2203" t="str">
            <v>LASER LA 24 SAS</v>
          </cell>
        </row>
        <row r="2204">
          <cell r="A2204">
            <v>900594141</v>
          </cell>
          <cell r="B2204" t="str">
            <v>CO</v>
          </cell>
          <cell r="C2204" t="str">
            <v>FRIO SAS</v>
          </cell>
        </row>
        <row r="2205">
          <cell r="A2205">
            <v>900594193</v>
          </cell>
          <cell r="B2205" t="str">
            <v>CO</v>
          </cell>
          <cell r="C2205" t="str">
            <v>WORLDWIDE ENGINEERING SOLUTIONS</v>
          </cell>
        </row>
        <row r="2206">
          <cell r="A2206">
            <v>900594775</v>
          </cell>
          <cell r="B2206" t="str">
            <v>CO</v>
          </cell>
          <cell r="C2206" t="str">
            <v>FERREMETALICAS CALA SAS</v>
          </cell>
        </row>
        <row r="2207">
          <cell r="A2207">
            <v>900595166</v>
          </cell>
          <cell r="B2207" t="str">
            <v>CO</v>
          </cell>
          <cell r="C2207" t="str">
            <v>MONTAJES PROYECTOS Y</v>
          </cell>
        </row>
        <row r="2208">
          <cell r="A2208">
            <v>900595320</v>
          </cell>
          <cell r="B2208" t="str">
            <v>CO</v>
          </cell>
          <cell r="C2208" t="str">
            <v>C&amp;T SOLUCIONES SAS</v>
          </cell>
        </row>
        <row r="2209">
          <cell r="A2209">
            <v>900599717</v>
          </cell>
          <cell r="B2209" t="str">
            <v>CO</v>
          </cell>
          <cell r="C2209" t="str">
            <v>ABLOY COLOMBIA SAS</v>
          </cell>
        </row>
        <row r="2210">
          <cell r="A2210">
            <v>900602008</v>
          </cell>
          <cell r="B2210" t="str">
            <v>CO</v>
          </cell>
          <cell r="C2210" t="str">
            <v>MULTICAUCHOS SAS</v>
          </cell>
        </row>
        <row r="2211">
          <cell r="A2211">
            <v>900602708</v>
          </cell>
          <cell r="B2211" t="str">
            <v>CO</v>
          </cell>
          <cell r="C2211" t="str">
            <v>OFIPOST SERVICIOS EMPRESARIALES SAS</v>
          </cell>
        </row>
        <row r="2212">
          <cell r="A2212">
            <v>900604033</v>
          </cell>
          <cell r="B2212" t="str">
            <v>CO</v>
          </cell>
          <cell r="C2212" t="str">
            <v>AGENCIA DE SEGUROS CCS LTDA</v>
          </cell>
        </row>
        <row r="2213">
          <cell r="A2213">
            <v>900604318</v>
          </cell>
          <cell r="B2213" t="str">
            <v>CO</v>
          </cell>
          <cell r="C2213" t="str">
            <v>FERRETERIA Y COMERCIALIZADORA</v>
          </cell>
        </row>
        <row r="2214">
          <cell r="A2214">
            <v>900605800</v>
          </cell>
          <cell r="B2214" t="str">
            <v>CO</v>
          </cell>
          <cell r="C2214" t="str">
            <v>CFER-PIL</v>
          </cell>
        </row>
        <row r="2215">
          <cell r="A2215">
            <v>900608499</v>
          </cell>
          <cell r="B2215" t="str">
            <v>CO</v>
          </cell>
          <cell r="C2215" t="str">
            <v>UNION TEMPORAL CASINOS CANTAGALLO</v>
          </cell>
        </row>
        <row r="2216">
          <cell r="A2216">
            <v>900611345</v>
          </cell>
          <cell r="B2216" t="str">
            <v>CO</v>
          </cell>
          <cell r="C2216" t="str">
            <v>CABRAACO SAS</v>
          </cell>
        </row>
        <row r="2217">
          <cell r="A2217">
            <v>900614292</v>
          </cell>
          <cell r="B2217" t="str">
            <v>CO</v>
          </cell>
          <cell r="C2217" t="str">
            <v>MULTISERVICIOS VCP SAS</v>
          </cell>
        </row>
        <row r="2218">
          <cell r="A2218">
            <v>900615398</v>
          </cell>
          <cell r="B2218" t="str">
            <v>CO</v>
          </cell>
          <cell r="C2218" t="str">
            <v>LA PROVINCIA AMG SAS</v>
          </cell>
        </row>
        <row r="2219">
          <cell r="A2219">
            <v>900615627</v>
          </cell>
          <cell r="B2219" t="str">
            <v>CO</v>
          </cell>
          <cell r="C2219" t="str">
            <v>SJ CERRERO SAS</v>
          </cell>
        </row>
        <row r="2220">
          <cell r="A2220">
            <v>900616588</v>
          </cell>
          <cell r="B2220" t="str">
            <v>CO</v>
          </cell>
          <cell r="C2220" t="str">
            <v>INVERSIONES ANDISAN SAS</v>
          </cell>
        </row>
        <row r="2221">
          <cell r="A2221">
            <v>900621181</v>
          </cell>
          <cell r="B2221" t="str">
            <v>CO</v>
          </cell>
          <cell r="C2221" t="str">
            <v>GRUPO TEMAKI SAS</v>
          </cell>
        </row>
        <row r="2222">
          <cell r="A2222">
            <v>900624211</v>
          </cell>
          <cell r="B2222" t="str">
            <v>CO</v>
          </cell>
          <cell r="C2222" t="str">
            <v>HOTEL EL REMANSO LLANERO</v>
          </cell>
        </row>
        <row r="2223">
          <cell r="A2223">
            <v>900629539</v>
          </cell>
          <cell r="B2223" t="str">
            <v>CO</v>
          </cell>
          <cell r="C2223" t="str">
            <v>TEST CAR SERVITECA</v>
          </cell>
        </row>
        <row r="2224">
          <cell r="A2224">
            <v>900629861</v>
          </cell>
          <cell r="B2224" t="str">
            <v>CO</v>
          </cell>
          <cell r="C2224" t="str">
            <v>FOURTEEN GROUP SAS</v>
          </cell>
        </row>
        <row r="2225">
          <cell r="A2225">
            <v>900631718</v>
          </cell>
          <cell r="B2225" t="str">
            <v>CO</v>
          </cell>
          <cell r="C2225" t="str">
            <v>JR GAITAN SERVITECA SAS</v>
          </cell>
        </row>
        <row r="2226">
          <cell r="A2226">
            <v>900638743</v>
          </cell>
          <cell r="B2226" t="str">
            <v>CO</v>
          </cell>
          <cell r="C2226" t="str">
            <v>FERRETERIA INDUSTRIAL PETROLERA</v>
          </cell>
        </row>
        <row r="2227">
          <cell r="A2227">
            <v>900642073</v>
          </cell>
          <cell r="B2227" t="str">
            <v>CO</v>
          </cell>
          <cell r="C2227" t="str">
            <v>MULTISERVICIOS RV SAS</v>
          </cell>
        </row>
        <row r="2228">
          <cell r="A2228">
            <v>900642739</v>
          </cell>
          <cell r="B2228" t="str">
            <v>CO</v>
          </cell>
          <cell r="C2228" t="str">
            <v>LA TIENDA DEL ZIPA EXPRESS S A S</v>
          </cell>
        </row>
        <row r="2229">
          <cell r="A2229">
            <v>900644158</v>
          </cell>
          <cell r="B2229" t="str">
            <v>CO</v>
          </cell>
          <cell r="C2229" t="str">
            <v>UNION TEMPORAL S&amp;A</v>
          </cell>
        </row>
        <row r="2230">
          <cell r="A2230">
            <v>900644306</v>
          </cell>
          <cell r="B2230" t="str">
            <v>CO</v>
          </cell>
          <cell r="C2230" t="str">
            <v>GRUPO EMPRESARIAL 7 MARKETING SAS</v>
          </cell>
        </row>
        <row r="2231">
          <cell r="A2231">
            <v>900645412</v>
          </cell>
          <cell r="B2231" t="str">
            <v>CO</v>
          </cell>
          <cell r="C2231" t="str">
            <v>ELECTRICO Y AIRES MANACACIAS SAS</v>
          </cell>
        </row>
        <row r="2232">
          <cell r="A2232">
            <v>900647075</v>
          </cell>
          <cell r="B2232" t="str">
            <v>CO</v>
          </cell>
          <cell r="C2232" t="str">
            <v>SUMILLANOS SAS</v>
          </cell>
        </row>
        <row r="2233">
          <cell r="A2233">
            <v>900652115</v>
          </cell>
          <cell r="B2233" t="str">
            <v>CO</v>
          </cell>
          <cell r="C2233" t="str">
            <v>ESTACION DE SERVICIO JAP SAS</v>
          </cell>
        </row>
        <row r="2234">
          <cell r="A2234">
            <v>900655347</v>
          </cell>
          <cell r="B2234" t="str">
            <v>CO</v>
          </cell>
          <cell r="C2234" t="str">
            <v>INVERSIONES TURRIAGO PABON SAS</v>
          </cell>
        </row>
        <row r="2235">
          <cell r="A2235">
            <v>900657462</v>
          </cell>
          <cell r="B2235" t="str">
            <v>CO</v>
          </cell>
          <cell r="C2235" t="str">
            <v>FORMALETAS Y COMPRESORES SAS</v>
          </cell>
        </row>
        <row r="2236">
          <cell r="A2236">
            <v>900664295</v>
          </cell>
          <cell r="B2236" t="str">
            <v>CO</v>
          </cell>
          <cell r="C2236" t="str">
            <v>AGRUPACION ZONA FRANCA DE TOCANCIPA</v>
          </cell>
        </row>
        <row r="2237">
          <cell r="A2237">
            <v>900667464</v>
          </cell>
          <cell r="B2237" t="str">
            <v>CO</v>
          </cell>
          <cell r="C2237" t="str">
            <v>CONSORCIO PIL-PROCTEK 2013</v>
          </cell>
        </row>
        <row r="2238">
          <cell r="A2238">
            <v>900668898</v>
          </cell>
          <cell r="B2238" t="str">
            <v>CO</v>
          </cell>
          <cell r="C2238" t="str">
            <v>INOXPETROL SAS</v>
          </cell>
        </row>
        <row r="2239">
          <cell r="A2239">
            <v>900669496</v>
          </cell>
          <cell r="B2239" t="str">
            <v>CO</v>
          </cell>
          <cell r="C2239" t="str">
            <v>CODINSEG SAS</v>
          </cell>
        </row>
        <row r="2240">
          <cell r="A2240">
            <v>900671204</v>
          </cell>
          <cell r="B2240" t="str">
            <v>CO</v>
          </cell>
          <cell r="C2240" t="str">
            <v>SUPPILES &amp;SAFETY SAS</v>
          </cell>
        </row>
        <row r="2241">
          <cell r="A2241">
            <v>900676573</v>
          </cell>
          <cell r="B2241" t="str">
            <v>CO</v>
          </cell>
          <cell r="C2241" t="str">
            <v>DETECCION EMPAQUE Y PROCESOS S A S</v>
          </cell>
        </row>
        <row r="2242">
          <cell r="A2242">
            <v>900678744</v>
          </cell>
          <cell r="B2242" t="str">
            <v>CO</v>
          </cell>
          <cell r="C2242" t="str">
            <v>GEHUTEMP SAS</v>
          </cell>
        </row>
        <row r="2243">
          <cell r="A2243">
            <v>900680563</v>
          </cell>
          <cell r="B2243" t="str">
            <v>CO</v>
          </cell>
          <cell r="C2243" t="str">
            <v>RESTAURANTE ZOE</v>
          </cell>
        </row>
        <row r="2244">
          <cell r="A2244">
            <v>900687469</v>
          </cell>
          <cell r="B2244" t="str">
            <v>CO</v>
          </cell>
          <cell r="C2244" t="str">
            <v>INVERSIONES GASTRONOMICAS MNV S A S</v>
          </cell>
        </row>
        <row r="2245">
          <cell r="A2245">
            <v>900689942</v>
          </cell>
          <cell r="B2245" t="str">
            <v>CO</v>
          </cell>
          <cell r="C2245" t="str">
            <v>CENTRO HIELOS SAS</v>
          </cell>
        </row>
        <row r="2246">
          <cell r="A2246">
            <v>900693380</v>
          </cell>
          <cell r="B2246" t="str">
            <v>CO</v>
          </cell>
          <cell r="C2246" t="str">
            <v>AMERICAN LOCKS CENTER SAS</v>
          </cell>
        </row>
        <row r="2247">
          <cell r="A2247">
            <v>900694351</v>
          </cell>
          <cell r="B2247" t="str">
            <v>CO</v>
          </cell>
          <cell r="C2247" t="str">
            <v>COLORQUIMICOS P&amp;R S.A.S</v>
          </cell>
        </row>
        <row r="2248">
          <cell r="A2248">
            <v>900699226</v>
          </cell>
          <cell r="B2248" t="str">
            <v>CO</v>
          </cell>
          <cell r="C2248" t="str">
            <v>GRANADOS MORA ABOGADOS SAS</v>
          </cell>
        </row>
        <row r="2249">
          <cell r="A2249">
            <v>900703487</v>
          </cell>
          <cell r="B2249" t="str">
            <v>CO</v>
          </cell>
          <cell r="C2249" t="str">
            <v>EL PALACIO DE LA CONSTRUCCION SAS</v>
          </cell>
        </row>
        <row r="2250">
          <cell r="A2250">
            <v>900708722</v>
          </cell>
          <cell r="B2250" t="str">
            <v>CO</v>
          </cell>
          <cell r="C2250" t="str">
            <v>VISION &amp; FRANQUICIA S A S</v>
          </cell>
        </row>
        <row r="2251">
          <cell r="A2251">
            <v>900709508</v>
          </cell>
          <cell r="B2251" t="str">
            <v>CO</v>
          </cell>
          <cell r="C2251" t="str">
            <v>WEBFINDYOU S.A.S</v>
          </cell>
        </row>
        <row r="2252">
          <cell r="A2252">
            <v>900712241</v>
          </cell>
          <cell r="B2252" t="str">
            <v>CO</v>
          </cell>
          <cell r="C2252" t="str">
            <v>GIGACON TRANSPORTES S.A.S.</v>
          </cell>
        </row>
        <row r="2253">
          <cell r="A2253">
            <v>900726221</v>
          </cell>
          <cell r="B2253" t="str">
            <v>CO</v>
          </cell>
          <cell r="C2253" t="str">
            <v>CONSORCIO MAGDALENA</v>
          </cell>
        </row>
        <row r="2254">
          <cell r="A2254">
            <v>900728109</v>
          </cell>
          <cell r="B2254" t="str">
            <v>CO</v>
          </cell>
          <cell r="C2254" t="str">
            <v>GOMEZ ANDRADE ASOCIADOS</v>
          </cell>
        </row>
        <row r="2255">
          <cell r="A2255">
            <v>900731021</v>
          </cell>
          <cell r="B2255" t="str">
            <v>CO</v>
          </cell>
          <cell r="C2255" t="str">
            <v>B&amp;F INVERSIONES S.A.S</v>
          </cell>
        </row>
        <row r="2256">
          <cell r="A2256">
            <v>900731680</v>
          </cell>
          <cell r="B2256" t="str">
            <v>CO</v>
          </cell>
          <cell r="C2256" t="str">
            <v>PUNTO ELECTRICO LA 36 SAS</v>
          </cell>
        </row>
        <row r="2257">
          <cell r="A2257">
            <v>900770109</v>
          </cell>
          <cell r="B2257" t="str">
            <v>CO</v>
          </cell>
          <cell r="C2257" t="str">
            <v>DAMIAN CASTILLO TARAZONA SAS</v>
          </cell>
        </row>
        <row r="2258">
          <cell r="A2258">
            <v>900779869</v>
          </cell>
          <cell r="B2258" t="str">
            <v>CO</v>
          </cell>
          <cell r="C2258" t="str">
            <v>WCH SOLUCIONES SAS</v>
          </cell>
        </row>
        <row r="2259">
          <cell r="A2259">
            <v>900783563</v>
          </cell>
          <cell r="B2259" t="str">
            <v>CO</v>
          </cell>
          <cell r="C2259" t="str">
            <v>FERREELECTRICOS LA 17 SAS</v>
          </cell>
        </row>
        <row r="2260">
          <cell r="A2260">
            <v>900792299</v>
          </cell>
          <cell r="B2260" t="str">
            <v>CO</v>
          </cell>
          <cell r="C2260" t="str">
            <v>MB DIMCO SAS</v>
          </cell>
        </row>
        <row r="2261">
          <cell r="A2261">
            <v>900793543</v>
          </cell>
          <cell r="B2261" t="str">
            <v>CO</v>
          </cell>
          <cell r="C2261" t="str">
            <v>GRUPO SAB SAS</v>
          </cell>
        </row>
        <row r="2262">
          <cell r="A2262">
            <v>900808512</v>
          </cell>
          <cell r="B2262" t="str">
            <v>CO</v>
          </cell>
          <cell r="C2262" t="str">
            <v>SERVICIOS DE INGENIERIA MONTAJES</v>
          </cell>
        </row>
        <row r="2263">
          <cell r="A2263">
            <v>1001803531</v>
          </cell>
          <cell r="B2263" t="str">
            <v>CO</v>
          </cell>
          <cell r="C2263" t="str">
            <v>HADWARD MARTINEZ PORTO</v>
          </cell>
        </row>
        <row r="2264">
          <cell r="A2264">
            <v>1010187517</v>
          </cell>
          <cell r="B2264" t="str">
            <v>CO</v>
          </cell>
          <cell r="C2264" t="str">
            <v>LIMAS OLIVEROS JOSE LUIS</v>
          </cell>
        </row>
        <row r="2265">
          <cell r="A2265">
            <v>1010194177</v>
          </cell>
          <cell r="B2265" t="str">
            <v>CO</v>
          </cell>
          <cell r="C2265" t="str">
            <v>FANDIÑO DURAN MAYRA ALEJANDRA</v>
          </cell>
        </row>
        <row r="2266">
          <cell r="A2266">
            <v>1010201322</v>
          </cell>
          <cell r="B2266" t="str">
            <v>CO</v>
          </cell>
          <cell r="C2266" t="str">
            <v>ROMERO VARGAS MEGUI SUAN</v>
          </cell>
        </row>
        <row r="2267">
          <cell r="A2267">
            <v>1012314794</v>
          </cell>
          <cell r="B2267" t="str">
            <v>CO</v>
          </cell>
          <cell r="C2267" t="str">
            <v>NO USAR</v>
          </cell>
        </row>
        <row r="2268">
          <cell r="A2268">
            <v>1012318174</v>
          </cell>
          <cell r="B2268" t="str">
            <v>CO</v>
          </cell>
          <cell r="C2268" t="str">
            <v>FLOREZ CASTILLO OSCAR MAURICIO</v>
          </cell>
        </row>
        <row r="2269">
          <cell r="A2269">
            <v>1012324794</v>
          </cell>
          <cell r="B2269" t="str">
            <v>CO</v>
          </cell>
          <cell r="C2269" t="str">
            <v>JAIR ALEXANDER ERAZO MOSQUERA</v>
          </cell>
        </row>
        <row r="2270">
          <cell r="A2270">
            <v>1012347209</v>
          </cell>
          <cell r="B2270" t="str">
            <v>CO</v>
          </cell>
          <cell r="C2270" t="str">
            <v>HECTOR FABIAN PASTRANA SEGURA</v>
          </cell>
        </row>
        <row r="2271">
          <cell r="A2271">
            <v>1012357735</v>
          </cell>
          <cell r="B2271" t="str">
            <v>CO</v>
          </cell>
          <cell r="C2271" t="str">
            <v>WILMER CAMILO TORES ESPINOSA</v>
          </cell>
        </row>
        <row r="2272">
          <cell r="A2272">
            <v>1012394134</v>
          </cell>
          <cell r="B2272" t="str">
            <v>CO</v>
          </cell>
          <cell r="C2272" t="str">
            <v>SARMIENTO ACERO JHON JAIRO</v>
          </cell>
        </row>
        <row r="2273">
          <cell r="A2273">
            <v>1013579314</v>
          </cell>
          <cell r="B2273" t="str">
            <v>CO</v>
          </cell>
          <cell r="C2273" t="str">
            <v>JORGE VICENTE PEREZ GARZON</v>
          </cell>
        </row>
        <row r="2274">
          <cell r="A2274">
            <v>1013581733</v>
          </cell>
          <cell r="B2274" t="str">
            <v>CO</v>
          </cell>
          <cell r="C2274" t="str">
            <v>OSCAR EDUARDO SANCHEZ MESA</v>
          </cell>
        </row>
        <row r="2275">
          <cell r="A2275">
            <v>1013592569</v>
          </cell>
          <cell r="B2275" t="str">
            <v>CO</v>
          </cell>
          <cell r="C2275" t="str">
            <v>RAMIREZ HINCAPIE MALLERLY ANDREA</v>
          </cell>
        </row>
        <row r="2276">
          <cell r="A2276">
            <v>1013627850</v>
          </cell>
          <cell r="B2276" t="str">
            <v>CO</v>
          </cell>
          <cell r="C2276" t="str">
            <v>NIETO RODRIGUEZ ANDRES CAMILO</v>
          </cell>
        </row>
        <row r="2277">
          <cell r="A2277">
            <v>1013631690</v>
          </cell>
          <cell r="B2277" t="str">
            <v>CO</v>
          </cell>
          <cell r="C2277" t="str">
            <v>IBAÑEZ HERNANDEZ ROSA YUDITH</v>
          </cell>
        </row>
        <row r="2278">
          <cell r="A2278">
            <v>1013637207</v>
          </cell>
          <cell r="B2278" t="str">
            <v>CO</v>
          </cell>
          <cell r="C2278" t="str">
            <v>SANTIAGO LIZCANO CHARRY</v>
          </cell>
        </row>
        <row r="2279">
          <cell r="A2279">
            <v>1014187693</v>
          </cell>
          <cell r="B2279" t="str">
            <v>CO</v>
          </cell>
          <cell r="C2279" t="str">
            <v>CALDERON MILLAN CINDY MARGARITA</v>
          </cell>
        </row>
        <row r="2280">
          <cell r="A2280">
            <v>1014189439</v>
          </cell>
          <cell r="B2280" t="str">
            <v>CO</v>
          </cell>
          <cell r="C2280" t="str">
            <v>RODRIGUEZ MANCERA AGUSTIN EDUARDO</v>
          </cell>
        </row>
        <row r="2281">
          <cell r="A2281">
            <v>1014191073</v>
          </cell>
          <cell r="B2281" t="str">
            <v>CO</v>
          </cell>
          <cell r="C2281" t="str">
            <v>SERGIO ANDRES MEJIA CHAPARRO</v>
          </cell>
        </row>
        <row r="2282">
          <cell r="A2282">
            <v>1014201180</v>
          </cell>
          <cell r="B2282" t="str">
            <v>CO</v>
          </cell>
          <cell r="C2282" t="str">
            <v>VILLEGAS CANTOR LAURA TATIANA</v>
          </cell>
        </row>
        <row r="2283">
          <cell r="A2283">
            <v>1014227901</v>
          </cell>
          <cell r="B2283" t="str">
            <v>CO</v>
          </cell>
          <cell r="C2283" t="str">
            <v>ESTEFANY ALEXANDRA NOVOA VARGAS</v>
          </cell>
        </row>
        <row r="2284">
          <cell r="A2284">
            <v>1014259984</v>
          </cell>
          <cell r="B2284" t="str">
            <v>CO</v>
          </cell>
          <cell r="C2284" t="str">
            <v>SALAS PACHECO GERMAN ANDRES</v>
          </cell>
        </row>
        <row r="2285">
          <cell r="A2285">
            <v>1015422130</v>
          </cell>
          <cell r="B2285" t="str">
            <v>CO</v>
          </cell>
          <cell r="C2285" t="str">
            <v>GILBERTO DORADO SALAMANCA</v>
          </cell>
        </row>
        <row r="2286">
          <cell r="A2286">
            <v>1015429474</v>
          </cell>
          <cell r="B2286" t="str">
            <v>CO</v>
          </cell>
          <cell r="C2286" t="str">
            <v>EDWIN ALEXIS ORTEGON ÑAÑEZ</v>
          </cell>
        </row>
        <row r="2287">
          <cell r="A2287">
            <v>1015442580</v>
          </cell>
          <cell r="B2287" t="str">
            <v>CO</v>
          </cell>
          <cell r="C2287" t="str">
            <v>PACHECO GONZALEZ LUIS FERNANDO</v>
          </cell>
        </row>
        <row r="2288">
          <cell r="A2288">
            <v>1016016601</v>
          </cell>
          <cell r="B2288" t="str">
            <v>CO</v>
          </cell>
          <cell r="C2288" t="str">
            <v>VARGAS DUQUE EDNA MAYHARA</v>
          </cell>
        </row>
        <row r="2289">
          <cell r="A2289">
            <v>1016018648</v>
          </cell>
          <cell r="B2289" t="str">
            <v>CO</v>
          </cell>
          <cell r="C2289" t="str">
            <v>JAHISON LOPEZ</v>
          </cell>
        </row>
        <row r="2290">
          <cell r="A2290">
            <v>1016035738</v>
          </cell>
          <cell r="B2290" t="str">
            <v>CO</v>
          </cell>
          <cell r="C2290" t="str">
            <v>MEJIA ROJAS ANGIE LINETTE</v>
          </cell>
        </row>
        <row r="2291">
          <cell r="A2291">
            <v>1016041792</v>
          </cell>
          <cell r="B2291" t="str">
            <v>CO</v>
          </cell>
          <cell r="C2291" t="str">
            <v>AVENDAÑO CASTELLANOS OSCAR GABRIEL</v>
          </cell>
        </row>
        <row r="2292">
          <cell r="A2292">
            <v>1016052055</v>
          </cell>
          <cell r="B2292" t="str">
            <v>CO</v>
          </cell>
          <cell r="C2292" t="str">
            <v>ROJAS GARCIA OMAR ADOLFO</v>
          </cell>
        </row>
        <row r="2293">
          <cell r="A2293">
            <v>1017209322</v>
          </cell>
          <cell r="B2293" t="str">
            <v>CO</v>
          </cell>
          <cell r="C2293" t="str">
            <v>ARROYAVE PEREZ ANDRES FELIPE</v>
          </cell>
        </row>
        <row r="2294">
          <cell r="A2294">
            <v>1018402894</v>
          </cell>
          <cell r="B2294" t="str">
            <v>CO</v>
          </cell>
          <cell r="C2294" t="str">
            <v>RAMOS ALDANA CARMEN CATHERINE</v>
          </cell>
        </row>
        <row r="2295">
          <cell r="A2295">
            <v>1018404967</v>
          </cell>
          <cell r="B2295" t="str">
            <v>CO</v>
          </cell>
          <cell r="C2295" t="str">
            <v>DIAZ CONDE LUISA FERNANDA</v>
          </cell>
        </row>
        <row r="2296">
          <cell r="A2296">
            <v>1018406342</v>
          </cell>
          <cell r="B2296" t="str">
            <v>CO</v>
          </cell>
          <cell r="C2296" t="str">
            <v>ARNOLD OSWALDO BENITEZ SALAMANCA</v>
          </cell>
        </row>
        <row r="2297">
          <cell r="A2297">
            <v>1018422866</v>
          </cell>
          <cell r="B2297" t="str">
            <v>CO</v>
          </cell>
          <cell r="C2297" t="str">
            <v>RIVERA RUIZ FRANKLIN</v>
          </cell>
        </row>
        <row r="2298">
          <cell r="A2298">
            <v>1018432396</v>
          </cell>
          <cell r="B2298" t="str">
            <v>CO</v>
          </cell>
          <cell r="C2298" t="str">
            <v>QUINTERO CASTRO LAURA PAOLA</v>
          </cell>
        </row>
        <row r="2299">
          <cell r="A2299">
            <v>1018444685</v>
          </cell>
          <cell r="B2299" t="str">
            <v>CO</v>
          </cell>
          <cell r="C2299" t="str">
            <v>OHLSCHMIED CASTELLANOS</v>
          </cell>
        </row>
        <row r="2300">
          <cell r="A2300">
            <v>1019009007</v>
          </cell>
          <cell r="B2300" t="str">
            <v>CO</v>
          </cell>
          <cell r="C2300" t="str">
            <v>ALVAREZ ALBEIRO</v>
          </cell>
        </row>
        <row r="2301">
          <cell r="A2301">
            <v>1019012856</v>
          </cell>
          <cell r="B2301" t="str">
            <v>CO</v>
          </cell>
          <cell r="C2301" t="str">
            <v>REYES ROMERO ANGELA MARIA</v>
          </cell>
        </row>
        <row r="2302">
          <cell r="A2302">
            <v>1019015788</v>
          </cell>
          <cell r="B2302" t="str">
            <v>CO</v>
          </cell>
          <cell r="C2302" t="str">
            <v>RUIZ CORREA LINA MARIA</v>
          </cell>
        </row>
        <row r="2303">
          <cell r="A2303">
            <v>1019017169</v>
          </cell>
          <cell r="B2303" t="str">
            <v>CO</v>
          </cell>
          <cell r="C2303" t="str">
            <v>HENRY STEVENS RINCON MALAGON</v>
          </cell>
        </row>
        <row r="2304">
          <cell r="A2304">
            <v>1019037061</v>
          </cell>
          <cell r="B2304" t="str">
            <v>CO</v>
          </cell>
          <cell r="C2304" t="str">
            <v>VEGA OCHOA JOSE LEONARDO</v>
          </cell>
        </row>
        <row r="2305">
          <cell r="A2305">
            <v>1019044496</v>
          </cell>
          <cell r="B2305" t="str">
            <v>CO</v>
          </cell>
          <cell r="C2305" t="str">
            <v>MARIO ALEXANDER GALLO RAMIREZ</v>
          </cell>
        </row>
        <row r="2306">
          <cell r="A2306">
            <v>1020718384</v>
          </cell>
          <cell r="B2306" t="str">
            <v>CO</v>
          </cell>
          <cell r="C2306" t="str">
            <v>FUENTES SANABRIA JAIR ALBEIRO</v>
          </cell>
        </row>
        <row r="2307">
          <cell r="A2307">
            <v>1020722315</v>
          </cell>
          <cell r="B2307" t="str">
            <v>CO</v>
          </cell>
          <cell r="C2307" t="str">
            <v>GRACIA BERMUDEZ JUAN PABLO</v>
          </cell>
        </row>
        <row r="2308">
          <cell r="A2308">
            <v>1020727454</v>
          </cell>
          <cell r="B2308" t="str">
            <v>CO</v>
          </cell>
          <cell r="C2308" t="str">
            <v>PEREIRA GOMEZ MARIA MONICA</v>
          </cell>
        </row>
        <row r="2309">
          <cell r="A2309">
            <v>1020736702</v>
          </cell>
          <cell r="B2309" t="str">
            <v>CO</v>
          </cell>
          <cell r="C2309" t="str">
            <v>SEGURA FOLLECO INGRID JULIANA</v>
          </cell>
        </row>
        <row r="2310">
          <cell r="A2310">
            <v>1020742168</v>
          </cell>
          <cell r="B2310" t="str">
            <v>CO</v>
          </cell>
          <cell r="C2310" t="str">
            <v>GOMEZ FRAILE INGRID VIVIANA</v>
          </cell>
        </row>
        <row r="2311">
          <cell r="A2311">
            <v>1020759706</v>
          </cell>
          <cell r="B2311" t="str">
            <v>CO</v>
          </cell>
          <cell r="C2311" t="str">
            <v>MICHAEL ALEXANDER BELTRAN CUELLAR</v>
          </cell>
        </row>
        <row r="2312">
          <cell r="A2312">
            <v>1020778352</v>
          </cell>
          <cell r="B2312" t="str">
            <v>CO</v>
          </cell>
          <cell r="C2312" t="str">
            <v>MARIA CAMILA VESGA CAMACHO</v>
          </cell>
        </row>
        <row r="2313">
          <cell r="A2313">
            <v>1020785654</v>
          </cell>
          <cell r="B2313" t="str">
            <v>CO</v>
          </cell>
          <cell r="C2313" t="str">
            <v>RODRIGUEZ HERNANDEZ YOLY LILIANA</v>
          </cell>
        </row>
        <row r="2314">
          <cell r="A2314">
            <v>1022324990</v>
          </cell>
          <cell r="B2314" t="str">
            <v>CO</v>
          </cell>
          <cell r="C2314" t="str">
            <v>EMIRO LOPEZ LEON</v>
          </cell>
        </row>
        <row r="2315">
          <cell r="A2315">
            <v>1022335971</v>
          </cell>
          <cell r="B2315" t="str">
            <v>CO</v>
          </cell>
          <cell r="C2315" t="str">
            <v>MAYORQUIN SARMIENTO KELLY TATIANA</v>
          </cell>
        </row>
        <row r="2316">
          <cell r="A2316">
            <v>1022337787</v>
          </cell>
          <cell r="B2316" t="str">
            <v>CO</v>
          </cell>
          <cell r="C2316" t="str">
            <v>VALDERRAMA TORRES RAQUEL SOFIA</v>
          </cell>
        </row>
        <row r="2317">
          <cell r="A2317">
            <v>1022339344</v>
          </cell>
          <cell r="B2317" t="str">
            <v>CO</v>
          </cell>
          <cell r="C2317" t="str">
            <v>ARAQUE GOMEZ DIANA CRISTINA</v>
          </cell>
        </row>
        <row r="2318">
          <cell r="A2318">
            <v>1022364669</v>
          </cell>
          <cell r="B2318" t="str">
            <v>CO</v>
          </cell>
          <cell r="C2318" t="str">
            <v>TAFUR MERCHAN NATALIA CAROLINA</v>
          </cell>
        </row>
        <row r="2319">
          <cell r="A2319">
            <v>1022400040</v>
          </cell>
          <cell r="B2319" t="str">
            <v>CO</v>
          </cell>
          <cell r="C2319" t="str">
            <v>VARGAS DUQUE JUAN SEBASTIAN</v>
          </cell>
        </row>
        <row r="2320">
          <cell r="A2320">
            <v>1022961514</v>
          </cell>
          <cell r="B2320" t="str">
            <v>CO</v>
          </cell>
          <cell r="C2320" t="str">
            <v>PARRA CAMPOS JORGE LEONARDO</v>
          </cell>
        </row>
        <row r="2321">
          <cell r="A2321">
            <v>1022967036</v>
          </cell>
          <cell r="B2321" t="str">
            <v>CO</v>
          </cell>
          <cell r="C2321" t="str">
            <v>SALCEDO FERIAS LEYDY CRISTINA</v>
          </cell>
        </row>
        <row r="2322">
          <cell r="A2322">
            <v>1022975303</v>
          </cell>
          <cell r="B2322" t="str">
            <v>CO</v>
          </cell>
          <cell r="C2322" t="str">
            <v>MOGROVEJO CANDRO CARLOS FELIPE</v>
          </cell>
        </row>
        <row r="2323">
          <cell r="A2323">
            <v>1023887080</v>
          </cell>
          <cell r="B2323" t="str">
            <v>CO</v>
          </cell>
          <cell r="C2323" t="str">
            <v>SUAREZ TIRIA CINDY JOHANA</v>
          </cell>
        </row>
        <row r="2324">
          <cell r="A2324">
            <v>1024465105</v>
          </cell>
          <cell r="B2324" t="str">
            <v>CO</v>
          </cell>
          <cell r="C2324" t="str">
            <v>CARLOS ANDRES AZA PACHON</v>
          </cell>
        </row>
        <row r="2325">
          <cell r="A2325">
            <v>1024547186</v>
          </cell>
          <cell r="B2325" t="str">
            <v>CO</v>
          </cell>
          <cell r="C2325" t="str">
            <v>MARIA EMILCE RODRIGUEZ CARDENAS</v>
          </cell>
        </row>
        <row r="2326">
          <cell r="A2326">
            <v>1026251536</v>
          </cell>
          <cell r="B2326" t="str">
            <v>CO</v>
          </cell>
          <cell r="C2326" t="str">
            <v>NINI JOHANA PINZON LEMUS</v>
          </cell>
        </row>
        <row r="2327">
          <cell r="A2327">
            <v>1026253021</v>
          </cell>
          <cell r="B2327" t="str">
            <v>CO</v>
          </cell>
          <cell r="C2327" t="str">
            <v>JUAN DAVID MEDINA GONZALEZ</v>
          </cell>
        </row>
        <row r="2328">
          <cell r="A2328">
            <v>1026554418</v>
          </cell>
          <cell r="B2328" t="str">
            <v>CO</v>
          </cell>
          <cell r="C2328" t="str">
            <v>BUSTAMANTE BELTRAN YERSON LENIN</v>
          </cell>
        </row>
        <row r="2329">
          <cell r="A2329">
            <v>1026559258</v>
          </cell>
          <cell r="B2329" t="str">
            <v>CO</v>
          </cell>
          <cell r="C2329" t="str">
            <v>ANDRES MAURICIO MORENO RESTREPO</v>
          </cell>
        </row>
        <row r="2330">
          <cell r="A2330">
            <v>1026564047</v>
          </cell>
          <cell r="B2330" t="str">
            <v>CO</v>
          </cell>
          <cell r="C2330" t="str">
            <v>SARMIENTO BOHORQUEZ JONATHAN</v>
          </cell>
        </row>
        <row r="2331">
          <cell r="A2331">
            <v>1026572912</v>
          </cell>
          <cell r="B2331" t="str">
            <v>CO</v>
          </cell>
          <cell r="C2331" t="str">
            <v>IBAÑEZ SALAMANCA JENNY LIZETH</v>
          </cell>
        </row>
        <row r="2332">
          <cell r="A2332">
            <v>1030524610</v>
          </cell>
          <cell r="B2332" t="str">
            <v>CO</v>
          </cell>
          <cell r="C2332" t="str">
            <v>RUIZ ORTIZ JORGE ANDRES</v>
          </cell>
        </row>
        <row r="2333">
          <cell r="A2333">
            <v>1030542460</v>
          </cell>
          <cell r="B2333" t="str">
            <v>CO</v>
          </cell>
          <cell r="C2333" t="str">
            <v>RODRIGUEZ GOMEZ JUAN DAVID</v>
          </cell>
        </row>
        <row r="2334">
          <cell r="A2334">
            <v>1030546140</v>
          </cell>
          <cell r="B2334" t="str">
            <v>CO</v>
          </cell>
          <cell r="C2334" t="str">
            <v>JOHN JAIRO MELO RODRIGUEZ</v>
          </cell>
        </row>
        <row r="2335">
          <cell r="A2335">
            <v>1030559919</v>
          </cell>
          <cell r="B2335" t="str">
            <v>CO</v>
          </cell>
          <cell r="C2335" t="str">
            <v>BERNAL LOSADA IVAN DARIO</v>
          </cell>
        </row>
        <row r="2336">
          <cell r="A2336">
            <v>1030593794</v>
          </cell>
          <cell r="B2336" t="str">
            <v>CO</v>
          </cell>
          <cell r="C2336" t="str">
            <v>MONTIEL YATE LUZ ANGELA</v>
          </cell>
        </row>
        <row r="2337">
          <cell r="A2337">
            <v>1030635428</v>
          </cell>
          <cell r="B2337" t="str">
            <v>CO</v>
          </cell>
          <cell r="C2337" t="str">
            <v>CARREÑO CAMACHO WILLIAM ALEJANDRO</v>
          </cell>
        </row>
        <row r="2338">
          <cell r="A2338">
            <v>1030652524</v>
          </cell>
          <cell r="B2338" t="str">
            <v>CO</v>
          </cell>
          <cell r="C2338" t="str">
            <v>LUGO BETANCURT BRAYAN RICARDO</v>
          </cell>
        </row>
        <row r="2339">
          <cell r="A2339">
            <v>1031123372</v>
          </cell>
          <cell r="B2339" t="str">
            <v>CO</v>
          </cell>
          <cell r="C2339" t="str">
            <v>SANDRA LILIANA VELANDIA TUNJANO</v>
          </cell>
        </row>
        <row r="2340">
          <cell r="A2340">
            <v>1031123702</v>
          </cell>
          <cell r="B2340" t="str">
            <v>CO</v>
          </cell>
          <cell r="C2340" t="str">
            <v>BERNAL PARRA YENNY PATRICIA</v>
          </cell>
        </row>
        <row r="2341">
          <cell r="A2341">
            <v>1031138543</v>
          </cell>
          <cell r="B2341" t="str">
            <v>CO</v>
          </cell>
          <cell r="C2341" t="str">
            <v>OSCAR EDUARDO VALENCIA</v>
          </cell>
        </row>
        <row r="2342">
          <cell r="A2342">
            <v>1032364337</v>
          </cell>
          <cell r="B2342" t="str">
            <v>CO</v>
          </cell>
          <cell r="C2342" t="str">
            <v>GOMEZ DIAZ MARIA FERNANDA</v>
          </cell>
        </row>
        <row r="2343">
          <cell r="A2343">
            <v>1032368077</v>
          </cell>
          <cell r="B2343" t="str">
            <v>CO</v>
          </cell>
          <cell r="C2343" t="str">
            <v>CHAPARRO CAMACHO WILLIAM DE JESUS</v>
          </cell>
        </row>
        <row r="2344">
          <cell r="A2344">
            <v>1032373046</v>
          </cell>
          <cell r="B2344" t="str">
            <v>CO</v>
          </cell>
          <cell r="C2344" t="str">
            <v>PEDRAZA PAULA ANDREA</v>
          </cell>
        </row>
        <row r="2345">
          <cell r="A2345">
            <v>1032381255</v>
          </cell>
          <cell r="B2345" t="str">
            <v>CO</v>
          </cell>
          <cell r="C2345" t="str">
            <v>BECERRA ROJAS EDILMA ELVIRA</v>
          </cell>
        </row>
        <row r="2346">
          <cell r="A2346">
            <v>1032381914</v>
          </cell>
          <cell r="B2346" t="str">
            <v>CO</v>
          </cell>
          <cell r="C2346" t="str">
            <v>RENGIFO RUIZ YURY CRISTINA</v>
          </cell>
        </row>
        <row r="2347">
          <cell r="A2347">
            <v>1032382382</v>
          </cell>
          <cell r="B2347" t="str">
            <v>CO</v>
          </cell>
          <cell r="C2347" t="str">
            <v>ORJUELA RUBIANO EDWIM DANIEL</v>
          </cell>
        </row>
        <row r="2348">
          <cell r="A2348">
            <v>1032385332</v>
          </cell>
          <cell r="B2348" t="str">
            <v>CO</v>
          </cell>
          <cell r="C2348" t="str">
            <v>OCHOA NOGUERA FABIO ENRIQUE</v>
          </cell>
        </row>
        <row r="2349">
          <cell r="A2349">
            <v>1032388194</v>
          </cell>
          <cell r="B2349" t="str">
            <v>CO</v>
          </cell>
          <cell r="C2349" t="str">
            <v>PRECIADO CHACON CESAR AUGUSTO</v>
          </cell>
        </row>
        <row r="2350">
          <cell r="A2350">
            <v>1032390859</v>
          </cell>
          <cell r="B2350" t="str">
            <v>CO</v>
          </cell>
          <cell r="C2350" t="str">
            <v>JENNIFER VARGAS NARANJO</v>
          </cell>
        </row>
        <row r="2351">
          <cell r="A2351">
            <v>1032398562</v>
          </cell>
          <cell r="B2351" t="str">
            <v>CO</v>
          </cell>
          <cell r="C2351" t="str">
            <v>CACERES FAJARDO CESAR AUGUSTO</v>
          </cell>
        </row>
        <row r="2352">
          <cell r="A2352">
            <v>1032410233</v>
          </cell>
          <cell r="B2352" t="str">
            <v>CO</v>
          </cell>
          <cell r="C2352" t="str">
            <v>QUIROZ CASTILLO INGRID JULIANA</v>
          </cell>
        </row>
        <row r="2353">
          <cell r="A2353">
            <v>1032416884</v>
          </cell>
          <cell r="B2353" t="str">
            <v>CO</v>
          </cell>
          <cell r="C2353" t="str">
            <v>OZUNA LEIVA JUANA ANDREA</v>
          </cell>
        </row>
        <row r="2354">
          <cell r="A2354">
            <v>1032419685</v>
          </cell>
          <cell r="B2354" t="str">
            <v>CO</v>
          </cell>
          <cell r="C2354" t="str">
            <v>BERMUDEZ CASTAÑEDA INGRID JACKELINE</v>
          </cell>
        </row>
        <row r="2355">
          <cell r="A2355">
            <v>1032421085</v>
          </cell>
          <cell r="B2355" t="str">
            <v>CO</v>
          </cell>
          <cell r="C2355" t="str">
            <v>OVALLE VARGAS DIANA CAROLINA</v>
          </cell>
        </row>
        <row r="2356">
          <cell r="A2356">
            <v>1032426765</v>
          </cell>
          <cell r="B2356" t="str">
            <v>CO</v>
          </cell>
          <cell r="C2356" t="str">
            <v>AGUILERA MORENO YUDI KARIN</v>
          </cell>
        </row>
        <row r="2357">
          <cell r="A2357">
            <v>1032434952</v>
          </cell>
          <cell r="B2357" t="str">
            <v>CO</v>
          </cell>
          <cell r="C2357" t="str">
            <v>BENITEZ ALEXANDER</v>
          </cell>
        </row>
        <row r="2358">
          <cell r="A2358">
            <v>1032446641</v>
          </cell>
          <cell r="B2358" t="str">
            <v>CO</v>
          </cell>
          <cell r="C2358" t="str">
            <v>SANTAMARIA PARDO RONAL FERNANDO</v>
          </cell>
        </row>
        <row r="2359">
          <cell r="A2359">
            <v>1033693233</v>
          </cell>
          <cell r="B2359" t="str">
            <v>CO</v>
          </cell>
          <cell r="C2359" t="str">
            <v>RENDON JOSE DULBER</v>
          </cell>
        </row>
        <row r="2360">
          <cell r="A2360">
            <v>1033719980</v>
          </cell>
          <cell r="B2360" t="str">
            <v>CO</v>
          </cell>
          <cell r="C2360" t="str">
            <v>HERRERA JIMENEZ FERNEY</v>
          </cell>
        </row>
        <row r="2361">
          <cell r="A2361">
            <v>1033721867</v>
          </cell>
          <cell r="B2361" t="str">
            <v>CO</v>
          </cell>
          <cell r="C2361" t="str">
            <v>NATALI LOPEZ</v>
          </cell>
        </row>
        <row r="2362">
          <cell r="A2362">
            <v>1033735946</v>
          </cell>
          <cell r="B2362" t="str">
            <v>CO</v>
          </cell>
          <cell r="C2362" t="str">
            <v>ROJAS LOBATON DIENES JOE</v>
          </cell>
        </row>
        <row r="2363">
          <cell r="A2363">
            <v>1034285953</v>
          </cell>
          <cell r="B2363" t="str">
            <v>CO</v>
          </cell>
          <cell r="C2363" t="str">
            <v>DOMENECH VAQUERO BRAYAM ALEXANDER</v>
          </cell>
        </row>
        <row r="2364">
          <cell r="A2364">
            <v>1036635570</v>
          </cell>
          <cell r="B2364" t="str">
            <v>CO</v>
          </cell>
          <cell r="C2364" t="str">
            <v>ZAPATA CORREA ALEJANDRA</v>
          </cell>
        </row>
        <row r="2365">
          <cell r="A2365">
            <v>1039678527</v>
          </cell>
          <cell r="B2365" t="str">
            <v>CO</v>
          </cell>
          <cell r="C2365" t="str">
            <v>CASTRILLON RESTREPO DONOVAN ENRIQUE</v>
          </cell>
        </row>
        <row r="2366">
          <cell r="A2366">
            <v>1039700841</v>
          </cell>
          <cell r="B2366" t="str">
            <v>CO</v>
          </cell>
          <cell r="C2366" t="str">
            <v>GISELLA ANDREA ALZATE ANDRADE</v>
          </cell>
        </row>
        <row r="2367">
          <cell r="A2367">
            <v>1042212179</v>
          </cell>
          <cell r="B2367" t="str">
            <v>CO</v>
          </cell>
          <cell r="C2367" t="str">
            <v>AVILAS LIMAS LINA PAOLA</v>
          </cell>
        </row>
        <row r="2368">
          <cell r="A2368">
            <v>1043841685</v>
          </cell>
          <cell r="B2368" t="str">
            <v>CO</v>
          </cell>
          <cell r="C2368" t="str">
            <v>JUAN JOSE REALES OSORIO</v>
          </cell>
        </row>
        <row r="2369">
          <cell r="A2369">
            <v>1045727314</v>
          </cell>
          <cell r="B2369" t="str">
            <v>CO</v>
          </cell>
          <cell r="C2369" t="str">
            <v>BROLIN DE JESUS PALACIO CARRASQUILL</v>
          </cell>
        </row>
        <row r="2370">
          <cell r="A2370">
            <v>1047448356</v>
          </cell>
          <cell r="B2370" t="str">
            <v>CO</v>
          </cell>
          <cell r="C2370" t="str">
            <v>RODRIGUEZ PATERNINA HAISON</v>
          </cell>
        </row>
        <row r="2371">
          <cell r="A2371">
            <v>1047466659</v>
          </cell>
          <cell r="B2371" t="str">
            <v>CO</v>
          </cell>
          <cell r="C2371" t="str">
            <v>CASTRO BABILONIA NEIDER</v>
          </cell>
        </row>
        <row r="2372">
          <cell r="A2372">
            <v>1048690169</v>
          </cell>
          <cell r="B2372" t="str">
            <v>CO</v>
          </cell>
          <cell r="C2372" t="str">
            <v>ANGARITA ARAQUE CAMILO</v>
          </cell>
        </row>
        <row r="2373">
          <cell r="A2373">
            <v>1048848181</v>
          </cell>
          <cell r="B2373" t="str">
            <v>CO</v>
          </cell>
          <cell r="C2373" t="str">
            <v>AGUIRRE DIAZ JHON ALEXANDER</v>
          </cell>
        </row>
        <row r="2374">
          <cell r="A2374">
            <v>1049602734</v>
          </cell>
          <cell r="B2374" t="str">
            <v>CO</v>
          </cell>
          <cell r="C2374" t="str">
            <v>FELIX GIOVANNY MOLINA ORTEGA</v>
          </cell>
        </row>
        <row r="2375">
          <cell r="A2375">
            <v>1049603968</v>
          </cell>
          <cell r="B2375" t="str">
            <v>CO</v>
          </cell>
          <cell r="C2375" t="str">
            <v>SUAREZ MAYORGA MAURICIO</v>
          </cell>
        </row>
        <row r="2376">
          <cell r="A2376">
            <v>1049606107</v>
          </cell>
          <cell r="B2376" t="str">
            <v>CO</v>
          </cell>
          <cell r="C2376" t="str">
            <v>YULY ESPERANZA LOPEZ</v>
          </cell>
        </row>
        <row r="2377">
          <cell r="A2377">
            <v>1049623856</v>
          </cell>
          <cell r="B2377" t="str">
            <v>CO</v>
          </cell>
          <cell r="C2377" t="str">
            <v>MORALES BAYONA ALAN STEVEN</v>
          </cell>
        </row>
        <row r="2378">
          <cell r="A2378">
            <v>1049797771</v>
          </cell>
          <cell r="B2378" t="str">
            <v>CO</v>
          </cell>
          <cell r="C2378" t="str">
            <v>GUATAQUIRA DIAZ JEISSON STEVEN</v>
          </cell>
        </row>
        <row r="2379">
          <cell r="A2379">
            <v>1050544592</v>
          </cell>
          <cell r="B2379" t="str">
            <v>CO</v>
          </cell>
          <cell r="C2379" t="str">
            <v>VILLAFAÑE BLANCO ALVARO JOSUE</v>
          </cell>
        </row>
        <row r="2380">
          <cell r="A2380">
            <v>1050692186</v>
          </cell>
          <cell r="B2380" t="str">
            <v>CO</v>
          </cell>
          <cell r="C2380" t="str">
            <v>SOLER GUERRERO JAIRO ANTONIO</v>
          </cell>
        </row>
        <row r="2381">
          <cell r="A2381">
            <v>1052312445</v>
          </cell>
          <cell r="B2381" t="str">
            <v>CO</v>
          </cell>
          <cell r="C2381" t="str">
            <v>JHON IVAN SOLANO RINCON</v>
          </cell>
        </row>
        <row r="2382">
          <cell r="A2382">
            <v>1052379191</v>
          </cell>
          <cell r="B2382" t="str">
            <v>CO</v>
          </cell>
          <cell r="C2382" t="str">
            <v>REYES COMBARIZA JORGE ALBERTO</v>
          </cell>
        </row>
        <row r="2383">
          <cell r="A2383">
            <v>1052391161</v>
          </cell>
          <cell r="B2383" t="str">
            <v>CO</v>
          </cell>
          <cell r="C2383" t="str">
            <v>NIÑO MOLANO JEIMY ALEJANDRA</v>
          </cell>
        </row>
        <row r="2384">
          <cell r="A2384">
            <v>1052392317</v>
          </cell>
          <cell r="B2384" t="str">
            <v>CO</v>
          </cell>
          <cell r="C2384" t="str">
            <v>ELIANA PINZON</v>
          </cell>
        </row>
        <row r="2385">
          <cell r="A2385">
            <v>1052701399</v>
          </cell>
          <cell r="B2385" t="str">
            <v>CO</v>
          </cell>
          <cell r="C2385" t="str">
            <v>ELVIS CONTRERAS ACUÑA</v>
          </cell>
        </row>
        <row r="2386">
          <cell r="A2386">
            <v>1053584089</v>
          </cell>
          <cell r="B2386" t="str">
            <v>CO</v>
          </cell>
          <cell r="C2386" t="str">
            <v>TAPIAS CELY IVAN ANDRES</v>
          </cell>
        </row>
        <row r="2387">
          <cell r="A2387">
            <v>1053607968</v>
          </cell>
          <cell r="B2387" t="str">
            <v>CO</v>
          </cell>
          <cell r="C2387" t="str">
            <v>FONSECA OCHOA YOHN ALEXANDER</v>
          </cell>
        </row>
        <row r="2388">
          <cell r="A2388">
            <v>1053664492</v>
          </cell>
          <cell r="B2388" t="str">
            <v>CO</v>
          </cell>
          <cell r="C2388" t="str">
            <v>ANDRES YESID SOLANO GALLO</v>
          </cell>
        </row>
        <row r="2389">
          <cell r="A2389">
            <v>1053664688</v>
          </cell>
          <cell r="B2389" t="str">
            <v>CO</v>
          </cell>
          <cell r="C2389" t="str">
            <v>HARVEY ENRIQUE VEGA RAMIREZ</v>
          </cell>
        </row>
        <row r="2390">
          <cell r="A2390">
            <v>1053786473</v>
          </cell>
          <cell r="B2390" t="str">
            <v>CO</v>
          </cell>
          <cell r="C2390" t="str">
            <v>JOSE VALERIO FARFAN RINCON</v>
          </cell>
        </row>
        <row r="2391">
          <cell r="A2391">
            <v>1055312321</v>
          </cell>
          <cell r="B2391" t="str">
            <v>CO</v>
          </cell>
          <cell r="C2391" t="str">
            <v>GOYENECHE FERNANDEZ RAUL IVAN</v>
          </cell>
        </row>
        <row r="2392">
          <cell r="A2392">
            <v>1057411690</v>
          </cell>
          <cell r="B2392" t="str">
            <v>CO</v>
          </cell>
          <cell r="C2392" t="str">
            <v>MUÑOZ VEGA DANIEL FELIPE</v>
          </cell>
        </row>
        <row r="2393">
          <cell r="A2393">
            <v>1057582376</v>
          </cell>
          <cell r="B2393" t="str">
            <v>CO</v>
          </cell>
          <cell r="C2393" t="str">
            <v>ALFONSO CORREDOR CARLOS ANDRES</v>
          </cell>
        </row>
        <row r="2394">
          <cell r="A2394">
            <v>1057584353</v>
          </cell>
          <cell r="B2394" t="str">
            <v>CO</v>
          </cell>
          <cell r="C2394" t="str">
            <v>WILMAR FERNEY RIVERA PEREZ</v>
          </cell>
        </row>
        <row r="2395">
          <cell r="A2395">
            <v>1057584576</v>
          </cell>
          <cell r="B2395" t="str">
            <v>CO</v>
          </cell>
          <cell r="C2395" t="str">
            <v>RODRIGUEZ CASTRO CRISTIAN MAURICIO</v>
          </cell>
        </row>
        <row r="2396">
          <cell r="A2396">
            <v>1057589122</v>
          </cell>
          <cell r="B2396" t="str">
            <v>CO</v>
          </cell>
          <cell r="C2396" t="str">
            <v>ALVARO FABIAN MOGOLLON CHAPARRO</v>
          </cell>
        </row>
        <row r="2397">
          <cell r="A2397">
            <v>1057589610</v>
          </cell>
          <cell r="B2397" t="str">
            <v>CO</v>
          </cell>
          <cell r="C2397" t="str">
            <v>ALONSO CHAPARRO GUSTAVO</v>
          </cell>
        </row>
        <row r="2398">
          <cell r="A2398">
            <v>1057591980</v>
          </cell>
          <cell r="B2398" t="str">
            <v>CO</v>
          </cell>
          <cell r="C2398" t="str">
            <v>JAVIER FELIPE RINCON RODRIGUEZ</v>
          </cell>
        </row>
        <row r="2399">
          <cell r="A2399">
            <v>1057871003</v>
          </cell>
          <cell r="B2399" t="str">
            <v>CO</v>
          </cell>
          <cell r="C2399" t="str">
            <v>EDWIN JONATHAN MESA HUERTAS</v>
          </cell>
        </row>
        <row r="2400">
          <cell r="A2400">
            <v>1061704076</v>
          </cell>
          <cell r="B2400" t="str">
            <v>CO</v>
          </cell>
          <cell r="C2400" t="str">
            <v>MAGDA LUCIA RIVERA ANDRADE</v>
          </cell>
        </row>
        <row r="2401">
          <cell r="A2401">
            <v>1061711383</v>
          </cell>
          <cell r="B2401" t="str">
            <v>CO</v>
          </cell>
          <cell r="C2401" t="str">
            <v>TOBAR CARDENAS SANTIAGO</v>
          </cell>
        </row>
        <row r="2402">
          <cell r="A2402">
            <v>1063563455</v>
          </cell>
          <cell r="B2402" t="str">
            <v>CO</v>
          </cell>
          <cell r="C2402" t="str">
            <v>CARVAJALINO JULIO CARLOS ANDRES</v>
          </cell>
        </row>
        <row r="2403">
          <cell r="A2403">
            <v>1065620134</v>
          </cell>
          <cell r="B2403" t="str">
            <v>CO</v>
          </cell>
          <cell r="C2403" t="str">
            <v>JAISSON JESUS LOBO CARDONA</v>
          </cell>
        </row>
        <row r="2404">
          <cell r="A2404">
            <v>1067860210</v>
          </cell>
          <cell r="B2404" t="str">
            <v>CO</v>
          </cell>
          <cell r="C2404" t="str">
            <v>CARLOS ALBERTO AREVALO YEPES</v>
          </cell>
        </row>
        <row r="2405">
          <cell r="A2405">
            <v>1067882646</v>
          </cell>
          <cell r="B2405" t="str">
            <v>CO</v>
          </cell>
          <cell r="C2405" t="str">
            <v>HERNANDEZ MACEA DANIT</v>
          </cell>
        </row>
        <row r="2406">
          <cell r="A2406">
            <v>1069733704</v>
          </cell>
          <cell r="B2406" t="str">
            <v>CO</v>
          </cell>
          <cell r="C2406" t="str">
            <v>PEREZ CHAVEZ CRISTIAN DAVID</v>
          </cell>
        </row>
        <row r="2407">
          <cell r="A2407">
            <v>1070004091</v>
          </cell>
          <cell r="B2407" t="str">
            <v>CO</v>
          </cell>
          <cell r="C2407" t="str">
            <v>GIRALDO ARDILA LEIDY GISELLE</v>
          </cell>
        </row>
        <row r="2408">
          <cell r="A2408">
            <v>1070944264</v>
          </cell>
          <cell r="B2408" t="str">
            <v>CO</v>
          </cell>
          <cell r="C2408" t="str">
            <v>RAMIREZ GARCIA GUSTAVO ANDRES</v>
          </cell>
        </row>
        <row r="2409">
          <cell r="A2409">
            <v>1071162273</v>
          </cell>
          <cell r="B2409" t="str">
            <v>CO</v>
          </cell>
          <cell r="C2409" t="str">
            <v>VASQUEZ AVELLANEDA JORGE ANDRES</v>
          </cell>
        </row>
        <row r="2410">
          <cell r="A2410">
            <v>1071164293</v>
          </cell>
          <cell r="B2410" t="str">
            <v>CO</v>
          </cell>
          <cell r="C2410" t="str">
            <v>ACOSTA SANTOS YESID ALEXANDER</v>
          </cell>
        </row>
        <row r="2411">
          <cell r="A2411">
            <v>1072006144</v>
          </cell>
          <cell r="B2411" t="str">
            <v>CO</v>
          </cell>
          <cell r="C2411" t="str">
            <v>CARRILLO LEGRO JHON JAIRO</v>
          </cell>
        </row>
        <row r="2412">
          <cell r="A2412">
            <v>1072426787</v>
          </cell>
          <cell r="B2412" t="str">
            <v>CO</v>
          </cell>
          <cell r="C2412" t="str">
            <v>MALAGÓN MARTINEZ LEIDY PAOLA</v>
          </cell>
        </row>
        <row r="2413">
          <cell r="A2413">
            <v>1072744125</v>
          </cell>
          <cell r="B2413" t="str">
            <v>CO</v>
          </cell>
          <cell r="C2413" t="str">
            <v>RINCON JACQUELINE SHIRLEY</v>
          </cell>
        </row>
        <row r="2414">
          <cell r="A2414">
            <v>1072746220</v>
          </cell>
          <cell r="B2414" t="str">
            <v>CO</v>
          </cell>
          <cell r="C2414" t="str">
            <v>ACEVEDO MAHECHA DAYANNA KATHERINE</v>
          </cell>
        </row>
        <row r="2415">
          <cell r="A2415">
            <v>1073238489</v>
          </cell>
          <cell r="B2415" t="str">
            <v>CO</v>
          </cell>
          <cell r="C2415" t="str">
            <v>YESSICA ELIANA CORONADO SANDOVAL</v>
          </cell>
        </row>
        <row r="2416">
          <cell r="A2416">
            <v>1073511626</v>
          </cell>
          <cell r="B2416" t="str">
            <v>CO</v>
          </cell>
          <cell r="C2416" t="str">
            <v>INGRID CAROLINA SUAREZ GOMEZ</v>
          </cell>
        </row>
        <row r="2417">
          <cell r="A2417">
            <v>1073515085</v>
          </cell>
          <cell r="B2417" t="str">
            <v>CO</v>
          </cell>
          <cell r="C2417" t="str">
            <v>MONTOYA MONTES JEFFERSON</v>
          </cell>
        </row>
        <row r="2418">
          <cell r="A2418">
            <v>1073683170</v>
          </cell>
          <cell r="B2418" t="str">
            <v>CO</v>
          </cell>
          <cell r="C2418" t="str">
            <v>BAYONA CORONEL YULIAN ANDREIKO</v>
          </cell>
        </row>
        <row r="2419">
          <cell r="A2419">
            <v>1074558181</v>
          </cell>
          <cell r="B2419" t="str">
            <v>CO</v>
          </cell>
          <cell r="C2419" t="str">
            <v>CARLOS MAURICIO RODRIGUEZ MOYA</v>
          </cell>
        </row>
        <row r="2420">
          <cell r="A2420">
            <v>1075213067</v>
          </cell>
          <cell r="B2420" t="str">
            <v>CO</v>
          </cell>
          <cell r="C2420" t="str">
            <v>DANIEL FERNANDO ALVAREZ MONTAÑA</v>
          </cell>
        </row>
        <row r="2421">
          <cell r="A2421">
            <v>1075213885</v>
          </cell>
          <cell r="B2421" t="str">
            <v>CO</v>
          </cell>
          <cell r="C2421" t="str">
            <v>CALDERON REYES HUGO FERNANDO</v>
          </cell>
        </row>
        <row r="2422">
          <cell r="A2422">
            <v>1075216527</v>
          </cell>
          <cell r="B2422" t="str">
            <v>CO</v>
          </cell>
          <cell r="C2422" t="str">
            <v>JOHN HARVY MEDINA RODRIGUEZ</v>
          </cell>
        </row>
        <row r="2423">
          <cell r="A2423">
            <v>1075224565</v>
          </cell>
          <cell r="B2423" t="str">
            <v>CO</v>
          </cell>
          <cell r="C2423" t="str">
            <v>PATIO HERNANDEZ MIGUEL FERNANDO</v>
          </cell>
        </row>
        <row r="2424">
          <cell r="A2424">
            <v>1075227615</v>
          </cell>
          <cell r="B2424" t="str">
            <v>CO</v>
          </cell>
          <cell r="C2424" t="str">
            <v>YARA CORTES VANESSA</v>
          </cell>
        </row>
        <row r="2425">
          <cell r="A2425">
            <v>1075231940</v>
          </cell>
          <cell r="B2425" t="str">
            <v>CO</v>
          </cell>
          <cell r="C2425" t="str">
            <v>YEISON ANDRES GONZALEZ MEDINA</v>
          </cell>
        </row>
        <row r="2426">
          <cell r="A2426">
            <v>1075234422</v>
          </cell>
          <cell r="B2426" t="str">
            <v>CO</v>
          </cell>
          <cell r="C2426" t="str">
            <v>FELIPE ANDRES GOMEZ VALENCIA</v>
          </cell>
        </row>
        <row r="2427">
          <cell r="A2427">
            <v>1075241281</v>
          </cell>
          <cell r="B2427" t="str">
            <v>CO</v>
          </cell>
          <cell r="C2427" t="str">
            <v>RICARDO ANDRES GOMEZ SAMBONI</v>
          </cell>
        </row>
        <row r="2428">
          <cell r="A2428">
            <v>1075262162</v>
          </cell>
          <cell r="B2428" t="str">
            <v>CO</v>
          </cell>
          <cell r="C2428" t="str">
            <v>ALIRIO RINCON GUIO</v>
          </cell>
        </row>
        <row r="2429">
          <cell r="A2429">
            <v>1075262182</v>
          </cell>
          <cell r="B2429" t="str">
            <v>CO</v>
          </cell>
          <cell r="C2429" t="str">
            <v>ALIRIO RINCON GUIO</v>
          </cell>
        </row>
        <row r="2430">
          <cell r="A2430">
            <v>1075538260</v>
          </cell>
          <cell r="B2430" t="str">
            <v>CO</v>
          </cell>
          <cell r="C2430" t="str">
            <v>LOZANO GUTIERREZ HORMINSON</v>
          </cell>
        </row>
        <row r="2431">
          <cell r="A2431">
            <v>1075657326</v>
          </cell>
          <cell r="B2431" t="str">
            <v>CO</v>
          </cell>
          <cell r="C2431" t="str">
            <v>MARTINEZ GOMEZ CAROL VIVIANA</v>
          </cell>
        </row>
        <row r="2432">
          <cell r="A2432">
            <v>1075660327</v>
          </cell>
          <cell r="B2432" t="str">
            <v>CO</v>
          </cell>
          <cell r="C2432" t="str">
            <v>RODRIGUEZ CASTILLO DIEGO HERNAN</v>
          </cell>
        </row>
        <row r="2433">
          <cell r="A2433">
            <v>1075666368</v>
          </cell>
          <cell r="B2433" t="str">
            <v>CO</v>
          </cell>
          <cell r="C2433" t="str">
            <v>EDUARD ALEXIS GUAYACUNDO HERNANDEZ</v>
          </cell>
        </row>
        <row r="2434">
          <cell r="A2434">
            <v>1075669886</v>
          </cell>
          <cell r="B2434" t="str">
            <v>CO</v>
          </cell>
          <cell r="C2434" t="str">
            <v>DIAZ REYES JOHAN CAMILO</v>
          </cell>
        </row>
        <row r="2435">
          <cell r="A2435">
            <v>1075675233</v>
          </cell>
          <cell r="B2435" t="str">
            <v>CO</v>
          </cell>
          <cell r="C2435" t="str">
            <v>BRAYAN ALEJANDRO FONSECA ESPITIA</v>
          </cell>
        </row>
        <row r="2436">
          <cell r="A2436">
            <v>1075871003</v>
          </cell>
          <cell r="B2436" t="str">
            <v>CO</v>
          </cell>
          <cell r="C2436" t="str">
            <v>MESA EDWIN</v>
          </cell>
        </row>
        <row r="2437">
          <cell r="A2437">
            <v>1076623734</v>
          </cell>
          <cell r="B2437" t="str">
            <v>CO</v>
          </cell>
          <cell r="C2437" t="str">
            <v>JIMMY ALEXANDER PINTO JIMENEZ</v>
          </cell>
        </row>
        <row r="2438">
          <cell r="A2438">
            <v>1076653445</v>
          </cell>
          <cell r="B2438" t="str">
            <v>CO</v>
          </cell>
          <cell r="C2438" t="str">
            <v>MURCIA GOMEZ CRISTIAN LEONARDO</v>
          </cell>
        </row>
        <row r="2439">
          <cell r="A2439">
            <v>1077083723</v>
          </cell>
          <cell r="B2439" t="str">
            <v>CO</v>
          </cell>
          <cell r="C2439" t="str">
            <v>BERNAL SUAREZ DIEGO FERNANDO</v>
          </cell>
        </row>
        <row r="2440">
          <cell r="A2440">
            <v>1077085105</v>
          </cell>
          <cell r="B2440" t="str">
            <v>CO</v>
          </cell>
          <cell r="C2440" t="str">
            <v>GUERRERO JOJOA YOVANY ALDEMAR</v>
          </cell>
        </row>
        <row r="2441">
          <cell r="A2441">
            <v>1077970973</v>
          </cell>
          <cell r="B2441" t="str">
            <v>CO</v>
          </cell>
          <cell r="C2441" t="str">
            <v>RICARDO  HERNANDEZ RODRIGUEZ</v>
          </cell>
        </row>
        <row r="2442">
          <cell r="A2442">
            <v>1083865176</v>
          </cell>
          <cell r="B2442" t="str">
            <v>CO</v>
          </cell>
          <cell r="C2442" t="str">
            <v>EDWARD DORADO SALAMANCA</v>
          </cell>
        </row>
        <row r="2443">
          <cell r="A2443">
            <v>1088292910</v>
          </cell>
          <cell r="B2443" t="str">
            <v>CO</v>
          </cell>
          <cell r="C2443" t="str">
            <v>TREJOS CORREA YESSICA ALEJANDRA</v>
          </cell>
        </row>
        <row r="2444">
          <cell r="A2444">
            <v>1090389862</v>
          </cell>
          <cell r="B2444" t="str">
            <v>CO</v>
          </cell>
          <cell r="C2444" t="str">
            <v>CINDY VANESSA ALVAREZ RAMIREZ</v>
          </cell>
        </row>
        <row r="2445">
          <cell r="A2445">
            <v>1094905142</v>
          </cell>
          <cell r="B2445" t="str">
            <v>CO</v>
          </cell>
          <cell r="C2445" t="str">
            <v>ROBERT ERICK GARCIA REY</v>
          </cell>
        </row>
        <row r="2446">
          <cell r="A2446">
            <v>1095932687</v>
          </cell>
          <cell r="B2446" t="str">
            <v>CO</v>
          </cell>
          <cell r="C2446" t="str">
            <v>LICETH JOHANA MACIAS AYALA</v>
          </cell>
        </row>
        <row r="2447">
          <cell r="A2447">
            <v>1096186342</v>
          </cell>
          <cell r="B2447" t="str">
            <v>CO</v>
          </cell>
          <cell r="C2447" t="str">
            <v>DIANA CAROLINA HERNANDEZ BAYONA</v>
          </cell>
        </row>
        <row r="2448">
          <cell r="A2448">
            <v>1096190671</v>
          </cell>
          <cell r="B2448" t="str">
            <v>CO</v>
          </cell>
          <cell r="C2448" t="str">
            <v>MORENO HERNANDEZ CRISTHIAN FERNANDO</v>
          </cell>
        </row>
        <row r="2449">
          <cell r="A2449">
            <v>1096191485</v>
          </cell>
          <cell r="B2449" t="str">
            <v>CO</v>
          </cell>
          <cell r="C2449" t="str">
            <v>CORREO QUINTERO MARCELO</v>
          </cell>
        </row>
        <row r="2450">
          <cell r="A2450">
            <v>1096191985</v>
          </cell>
          <cell r="B2450" t="str">
            <v>CO</v>
          </cell>
          <cell r="C2450" t="str">
            <v>VALDERRAMA MANCILLA JUAN MANUEL</v>
          </cell>
        </row>
        <row r="2451">
          <cell r="A2451">
            <v>1096194901</v>
          </cell>
          <cell r="B2451" t="str">
            <v>CO</v>
          </cell>
          <cell r="C2451" t="str">
            <v>CARVAJALINO PERDOMO MAYRA ALEJANDRA</v>
          </cell>
        </row>
        <row r="2452">
          <cell r="A2452">
            <v>1096197439</v>
          </cell>
          <cell r="B2452" t="str">
            <v>CO</v>
          </cell>
          <cell r="C2452" t="str">
            <v>MORENO NUÑEZ ADOLFO</v>
          </cell>
        </row>
        <row r="2453">
          <cell r="A2453">
            <v>1096199169</v>
          </cell>
          <cell r="B2453" t="str">
            <v>CO</v>
          </cell>
          <cell r="C2453" t="str">
            <v>RUBY SUAREZ FLOREZ</v>
          </cell>
        </row>
        <row r="2454">
          <cell r="A2454">
            <v>1096200422</v>
          </cell>
          <cell r="B2454" t="str">
            <v>CO</v>
          </cell>
          <cell r="C2454" t="str">
            <v>JIMENEZ CARVAJAL GUSTAVO</v>
          </cell>
        </row>
        <row r="2455">
          <cell r="A2455">
            <v>1096202933</v>
          </cell>
          <cell r="B2455" t="str">
            <v>CO</v>
          </cell>
          <cell r="C2455" t="str">
            <v>LEIDY VILLANOVA BLANCO</v>
          </cell>
        </row>
        <row r="2456">
          <cell r="A2456">
            <v>1096208275</v>
          </cell>
          <cell r="B2456" t="str">
            <v>CO</v>
          </cell>
          <cell r="C2456" t="str">
            <v>CASTILLO PALOMINO SILVIA PATRICIA</v>
          </cell>
        </row>
        <row r="2457">
          <cell r="A2457">
            <v>1096210424</v>
          </cell>
          <cell r="B2457" t="str">
            <v>CO</v>
          </cell>
          <cell r="C2457" t="str">
            <v>NIEVES CAPACHO FABIAN</v>
          </cell>
        </row>
        <row r="2458">
          <cell r="A2458">
            <v>1096230217</v>
          </cell>
          <cell r="B2458" t="str">
            <v>CO</v>
          </cell>
          <cell r="C2458" t="str">
            <v>SANTOS GONZALEZ HAMILTON</v>
          </cell>
        </row>
        <row r="2459">
          <cell r="A2459">
            <v>1096231490</v>
          </cell>
          <cell r="B2459" t="str">
            <v>CO</v>
          </cell>
          <cell r="C2459" t="str">
            <v>BELTRAN TABARES DANIELA</v>
          </cell>
        </row>
        <row r="2460">
          <cell r="A2460">
            <v>1096231978</v>
          </cell>
          <cell r="B2460" t="str">
            <v>CO</v>
          </cell>
          <cell r="C2460" t="str">
            <v>CAMACHO ORTIZ IBETH TATIANA</v>
          </cell>
        </row>
        <row r="2461">
          <cell r="A2461">
            <v>1096234433</v>
          </cell>
          <cell r="B2461" t="str">
            <v>CO</v>
          </cell>
          <cell r="C2461" t="str">
            <v>RODRIGUEZ VILLALBA NORIDA</v>
          </cell>
        </row>
        <row r="2462">
          <cell r="A2462">
            <v>1098130767</v>
          </cell>
          <cell r="B2462" t="str">
            <v>CO</v>
          </cell>
          <cell r="C2462" t="str">
            <v>PALACIOS CACERES OLMAN EDUARDO</v>
          </cell>
        </row>
        <row r="2463">
          <cell r="A2463">
            <v>1098602147</v>
          </cell>
          <cell r="B2463" t="str">
            <v>CO</v>
          </cell>
          <cell r="C2463" t="str">
            <v>BARON CARRILLO MANUEL EDUARDO</v>
          </cell>
        </row>
        <row r="2464">
          <cell r="A2464">
            <v>1098604814</v>
          </cell>
          <cell r="B2464" t="str">
            <v>CO</v>
          </cell>
          <cell r="C2464" t="str">
            <v>FRANK JONATHAN ANGARITA MARTINEZ</v>
          </cell>
        </row>
        <row r="2465">
          <cell r="A2465">
            <v>1098610967</v>
          </cell>
          <cell r="B2465" t="str">
            <v>CO</v>
          </cell>
          <cell r="C2465" t="str">
            <v>ORTEGA CARRASCAL FRANCISCO JAVIER</v>
          </cell>
        </row>
        <row r="2466">
          <cell r="A2466">
            <v>1098611544</v>
          </cell>
          <cell r="B2466" t="str">
            <v>CO</v>
          </cell>
          <cell r="C2466" t="str">
            <v>YESID ALEXANDER ARIZA SANCHEZ</v>
          </cell>
        </row>
        <row r="2467">
          <cell r="A2467">
            <v>1098617604</v>
          </cell>
          <cell r="B2467" t="str">
            <v>CO</v>
          </cell>
          <cell r="C2467" t="str">
            <v>DORADO TANGARIFE JOHAN DAVID</v>
          </cell>
        </row>
        <row r="2468">
          <cell r="A2468">
            <v>1098619117</v>
          </cell>
          <cell r="B2468" t="str">
            <v>CO</v>
          </cell>
          <cell r="C2468" t="str">
            <v>CELIS CASTELLANOS WILLMAN FABIAN</v>
          </cell>
        </row>
        <row r="2469">
          <cell r="A2469">
            <v>1098628261</v>
          </cell>
          <cell r="B2469" t="str">
            <v>CO</v>
          </cell>
          <cell r="C2469" t="str">
            <v>GOMEZ OTERO JOSE DAVID</v>
          </cell>
        </row>
        <row r="2470">
          <cell r="A2470">
            <v>1098639582</v>
          </cell>
          <cell r="B2470" t="str">
            <v>CO</v>
          </cell>
          <cell r="C2470" t="str">
            <v>JHON JAIRO RAMIREZ GARZON</v>
          </cell>
        </row>
        <row r="2471">
          <cell r="A2471">
            <v>1098644813</v>
          </cell>
          <cell r="B2471" t="str">
            <v>CO</v>
          </cell>
          <cell r="C2471" t="str">
            <v>FABIO ANDRES CAMPOS BAUTISTA</v>
          </cell>
        </row>
        <row r="2472">
          <cell r="A2472">
            <v>1098648638</v>
          </cell>
          <cell r="B2472" t="str">
            <v>CO</v>
          </cell>
          <cell r="C2472" t="str">
            <v>YILBERT JOAQUIN GALVIS BUENO</v>
          </cell>
        </row>
        <row r="2473">
          <cell r="A2473">
            <v>1098661711</v>
          </cell>
          <cell r="B2473" t="str">
            <v>CO</v>
          </cell>
          <cell r="C2473" t="str">
            <v>JOSE ESTEBAN MUÑOZ HERNANDEZ</v>
          </cell>
        </row>
        <row r="2474">
          <cell r="A2474">
            <v>1098666739</v>
          </cell>
          <cell r="B2474" t="str">
            <v>CO</v>
          </cell>
          <cell r="C2474" t="str">
            <v>ANDRES YESID AREVALO OLARTE</v>
          </cell>
        </row>
        <row r="2475">
          <cell r="A2475">
            <v>1098681985</v>
          </cell>
          <cell r="B2475" t="str">
            <v>CO</v>
          </cell>
          <cell r="C2475" t="str">
            <v>CRISTIAN YESID PACHON HERNANDEZ</v>
          </cell>
        </row>
        <row r="2476">
          <cell r="A2476">
            <v>1098698291</v>
          </cell>
          <cell r="B2476" t="str">
            <v>CO</v>
          </cell>
          <cell r="C2476" t="str">
            <v>BARBOSA CUADROS ANDRES</v>
          </cell>
        </row>
        <row r="2477">
          <cell r="A2477">
            <v>1098736484</v>
          </cell>
          <cell r="B2477" t="str">
            <v>CO</v>
          </cell>
          <cell r="C2477" t="str">
            <v>VELASQUEZ DIBELLO ESTEFANNY PAOLA</v>
          </cell>
        </row>
        <row r="2478">
          <cell r="A2478">
            <v>1098741132</v>
          </cell>
          <cell r="B2478" t="str">
            <v>CO</v>
          </cell>
          <cell r="C2478" t="str">
            <v>MATEUS ALBARRACIN CRISTIAN</v>
          </cell>
        </row>
        <row r="2479">
          <cell r="A2479">
            <v>1104124141</v>
          </cell>
          <cell r="B2479" t="str">
            <v>CO</v>
          </cell>
          <cell r="C2479" t="str">
            <v>MATTOS PICON HERLINDA MARIA</v>
          </cell>
        </row>
        <row r="2480">
          <cell r="A2480">
            <v>1104127157</v>
          </cell>
          <cell r="B2480" t="str">
            <v>CO</v>
          </cell>
          <cell r="C2480" t="str">
            <v>BOLAÑOS RODRIGUEZ LUZ ENEYDA</v>
          </cell>
        </row>
        <row r="2481">
          <cell r="A2481">
            <v>1104131278</v>
          </cell>
          <cell r="B2481" t="str">
            <v>CO</v>
          </cell>
          <cell r="C2481" t="str">
            <v>CHAVEZ HOYOS JHOAN ALBERTO</v>
          </cell>
        </row>
        <row r="2482">
          <cell r="A2482">
            <v>1105684723</v>
          </cell>
          <cell r="B2482" t="str">
            <v>CO</v>
          </cell>
          <cell r="C2482" t="str">
            <v>LAVERDE ARCHILA JUAN DAVID</v>
          </cell>
        </row>
        <row r="2483">
          <cell r="A2483">
            <v>1106393865</v>
          </cell>
          <cell r="B2483" t="str">
            <v>CO</v>
          </cell>
          <cell r="C2483" t="str">
            <v>RODRIGUEZ VARGAS MARLO</v>
          </cell>
        </row>
        <row r="2484">
          <cell r="A2484">
            <v>1106396403</v>
          </cell>
          <cell r="B2484" t="str">
            <v>CO</v>
          </cell>
          <cell r="C2484" t="str">
            <v>GONZALEZ RODRIGUEZ RAMON ELIAS</v>
          </cell>
        </row>
        <row r="2485">
          <cell r="A2485">
            <v>1109844773</v>
          </cell>
          <cell r="B2485" t="str">
            <v>CO</v>
          </cell>
          <cell r="C2485" t="str">
            <v>PEDRAZA YATE ANA MILENA</v>
          </cell>
        </row>
        <row r="2486">
          <cell r="A2486">
            <v>1110060291</v>
          </cell>
          <cell r="B2486" t="str">
            <v>CO</v>
          </cell>
          <cell r="C2486" t="str">
            <v>HERRERA IVAN MAURICIO</v>
          </cell>
        </row>
        <row r="2487">
          <cell r="A2487">
            <v>1110480981</v>
          </cell>
          <cell r="B2487" t="str">
            <v>CO</v>
          </cell>
          <cell r="C2487" t="str">
            <v>DANIEL ANDRES CORTES LOPEZ</v>
          </cell>
        </row>
        <row r="2488">
          <cell r="A2488">
            <v>1113420580</v>
          </cell>
          <cell r="B2488" t="str">
            <v>CO</v>
          </cell>
          <cell r="C2488" t="str">
            <v>IDROBO VIVEROS DUVAN ALEXIS</v>
          </cell>
        </row>
        <row r="2489">
          <cell r="A2489">
            <v>1116662460</v>
          </cell>
          <cell r="B2489" t="str">
            <v>CO</v>
          </cell>
          <cell r="C2489" t="str">
            <v>HIPOLITO IBICA GARCIA</v>
          </cell>
        </row>
        <row r="2490">
          <cell r="A2490">
            <v>1116663876</v>
          </cell>
          <cell r="B2490" t="str">
            <v>CO</v>
          </cell>
          <cell r="C2490" t="str">
            <v>LEIDY ANDREA SANCHEZ SANTAMARIA</v>
          </cell>
        </row>
        <row r="2491">
          <cell r="A2491">
            <v>1116778186</v>
          </cell>
          <cell r="B2491" t="str">
            <v>CO</v>
          </cell>
          <cell r="C2491" t="str">
            <v>ELKIN JAIR CLARO ANDRADE</v>
          </cell>
        </row>
        <row r="2492">
          <cell r="A2492">
            <v>1118532304</v>
          </cell>
          <cell r="B2492" t="str">
            <v>CO</v>
          </cell>
          <cell r="C2492" t="str">
            <v>NIÑO NIÑO DIOMEDES</v>
          </cell>
        </row>
        <row r="2493">
          <cell r="A2493">
            <v>1118534573</v>
          </cell>
          <cell r="B2493" t="str">
            <v>CO</v>
          </cell>
          <cell r="C2493" t="str">
            <v>VASQUEZ MIRANDA DIANA MARCELA</v>
          </cell>
        </row>
        <row r="2494">
          <cell r="A2494">
            <v>1118543239</v>
          </cell>
          <cell r="B2494" t="str">
            <v>CO</v>
          </cell>
          <cell r="C2494" t="str">
            <v>RUIZ VASQUEZ DALFI YULEISY</v>
          </cell>
        </row>
        <row r="2495">
          <cell r="A2495">
            <v>1120867320</v>
          </cell>
          <cell r="B2495" t="str">
            <v>CO</v>
          </cell>
          <cell r="C2495" t="str">
            <v>GUTIERREZ GUTIERREZ YASMANY</v>
          </cell>
        </row>
        <row r="2496">
          <cell r="A2496">
            <v>1121818732</v>
          </cell>
          <cell r="B2496" t="str">
            <v>CO</v>
          </cell>
          <cell r="C2496" t="str">
            <v>ROCHA ANDRES FELIPE</v>
          </cell>
        </row>
        <row r="2497">
          <cell r="A2497">
            <v>1121820227</v>
          </cell>
          <cell r="B2497" t="str">
            <v>CO</v>
          </cell>
          <cell r="C2497" t="str">
            <v>ROMERO MORENO PAOLA ANDREA</v>
          </cell>
        </row>
        <row r="2498">
          <cell r="A2498">
            <v>1121826915</v>
          </cell>
          <cell r="B2498" t="str">
            <v>CO</v>
          </cell>
          <cell r="C2498" t="str">
            <v>CORREAL CORDOBA JOHN FREDY</v>
          </cell>
        </row>
        <row r="2499">
          <cell r="A2499">
            <v>1121827527</v>
          </cell>
          <cell r="B2499" t="str">
            <v>CO</v>
          </cell>
          <cell r="C2499" t="str">
            <v>JAVIER HURTADO AMOROCHO</v>
          </cell>
        </row>
        <row r="2500">
          <cell r="A2500">
            <v>1121828184</v>
          </cell>
          <cell r="B2500" t="str">
            <v>CO</v>
          </cell>
          <cell r="C2500" t="str">
            <v>AREVALO VARGAS DANNY SMITH</v>
          </cell>
        </row>
        <row r="2501">
          <cell r="A2501">
            <v>1121841077</v>
          </cell>
          <cell r="B2501" t="str">
            <v>CO</v>
          </cell>
          <cell r="C2501" t="str">
            <v>MOYANO ROJAS EDGARDO</v>
          </cell>
        </row>
        <row r="2502">
          <cell r="A2502">
            <v>1121850030</v>
          </cell>
          <cell r="B2502" t="str">
            <v>CO</v>
          </cell>
          <cell r="C2502" t="str">
            <v>SANCHEZ REY YEISMY ADRIANA</v>
          </cell>
        </row>
        <row r="2503">
          <cell r="A2503">
            <v>1121851910</v>
          </cell>
          <cell r="B2503" t="str">
            <v>CO</v>
          </cell>
          <cell r="C2503" t="str">
            <v>HUERTAS DANIEL FERNANDO</v>
          </cell>
        </row>
        <row r="2504">
          <cell r="A2504">
            <v>1121856109</v>
          </cell>
          <cell r="B2504" t="str">
            <v>CO</v>
          </cell>
          <cell r="C2504" t="str">
            <v>DUVAN ANDRES ABRIL GONZALEZ</v>
          </cell>
        </row>
        <row r="2505">
          <cell r="A2505">
            <v>1121864968</v>
          </cell>
          <cell r="B2505" t="str">
            <v>CO</v>
          </cell>
          <cell r="C2505" t="str">
            <v>PULIDO HERNANDEZ YIGLIDA MARCELA</v>
          </cell>
        </row>
        <row r="2506">
          <cell r="A2506">
            <v>1121868054</v>
          </cell>
          <cell r="B2506" t="str">
            <v>CO</v>
          </cell>
          <cell r="C2506" t="str">
            <v>YONATAN REYNALDO PEREA GUERRA</v>
          </cell>
        </row>
        <row r="2507">
          <cell r="A2507">
            <v>1121870056</v>
          </cell>
          <cell r="B2507" t="str">
            <v>CO</v>
          </cell>
          <cell r="C2507" t="str">
            <v>ACUÑA HERRERA HENRY</v>
          </cell>
        </row>
        <row r="2508">
          <cell r="A2508">
            <v>1121878140</v>
          </cell>
          <cell r="B2508" t="str">
            <v>CO</v>
          </cell>
          <cell r="C2508" t="str">
            <v>DIAZ NELSON LEONARDO</v>
          </cell>
        </row>
        <row r="2509">
          <cell r="A2509">
            <v>1121884109</v>
          </cell>
          <cell r="B2509" t="str">
            <v>CO</v>
          </cell>
          <cell r="C2509" t="str">
            <v>ESCOBAR VELA MARIBEL</v>
          </cell>
        </row>
        <row r="2510">
          <cell r="A2510">
            <v>1121886123</v>
          </cell>
          <cell r="B2510" t="str">
            <v>CO</v>
          </cell>
          <cell r="C2510" t="str">
            <v>SUAREZ TIRIA HERNAN MAURICIO</v>
          </cell>
        </row>
        <row r="2511">
          <cell r="A2511">
            <v>1121886701</v>
          </cell>
          <cell r="B2511" t="str">
            <v>CO</v>
          </cell>
          <cell r="C2511" t="str">
            <v>BRAYAN SNEIDER MURCIA TOBON</v>
          </cell>
        </row>
        <row r="2512">
          <cell r="A2512">
            <v>1121888419</v>
          </cell>
          <cell r="B2512" t="str">
            <v>CO</v>
          </cell>
          <cell r="C2512" t="str">
            <v>GAMBOA YINA MARCELA</v>
          </cell>
        </row>
        <row r="2513">
          <cell r="A2513">
            <v>1121888429</v>
          </cell>
          <cell r="B2513" t="str">
            <v>CO</v>
          </cell>
          <cell r="C2513" t="str">
            <v>GAMBOA YINA MARCELA</v>
          </cell>
        </row>
        <row r="2514">
          <cell r="A2514">
            <v>1121903800</v>
          </cell>
          <cell r="B2514" t="str">
            <v>CO</v>
          </cell>
          <cell r="C2514" t="str">
            <v>FLOREZ HERNANDEZ YESSIKA PAOLA</v>
          </cell>
        </row>
        <row r="2515">
          <cell r="A2515">
            <v>1121923729</v>
          </cell>
          <cell r="B2515" t="str">
            <v>CO</v>
          </cell>
          <cell r="C2515" t="str">
            <v>HERNANDEZ GONZALEZ CARLOS ALBERTO</v>
          </cell>
        </row>
        <row r="2516">
          <cell r="A2516">
            <v>1122129164</v>
          </cell>
          <cell r="B2516" t="str">
            <v>CO</v>
          </cell>
          <cell r="C2516" t="str">
            <v>JEISON STIW AMADO ARCE</v>
          </cell>
        </row>
        <row r="2517">
          <cell r="A2517">
            <v>1122648026</v>
          </cell>
          <cell r="B2517" t="str">
            <v>CO</v>
          </cell>
          <cell r="C2517" t="str">
            <v>RAMOS AVENDAÑO CARLOS EDUARDO</v>
          </cell>
        </row>
        <row r="2518">
          <cell r="A2518">
            <v>1124823314</v>
          </cell>
          <cell r="B2518" t="str">
            <v>CO</v>
          </cell>
          <cell r="C2518" t="str">
            <v>HOTEL BELLAS PALMAS</v>
          </cell>
        </row>
        <row r="2519">
          <cell r="A2519">
            <v>1124823390</v>
          </cell>
          <cell r="B2519" t="str">
            <v>CO</v>
          </cell>
          <cell r="C2519" t="str">
            <v>ANDERSON LEGUIZAMON RODRIGUEZ</v>
          </cell>
        </row>
        <row r="2520">
          <cell r="A2520">
            <v>1124826030</v>
          </cell>
          <cell r="B2520" t="str">
            <v>CO</v>
          </cell>
          <cell r="C2520" t="str">
            <v>GUTIERREZ GUTIERREZ DIEGO ALEJANDRO</v>
          </cell>
        </row>
        <row r="2521">
          <cell r="A2521">
            <v>1127383023</v>
          </cell>
          <cell r="B2521" t="str">
            <v>CO</v>
          </cell>
          <cell r="C2521" t="str">
            <v>CORREAL AMAYA LUIS ERNEY</v>
          </cell>
        </row>
        <row r="2522">
          <cell r="A2522">
            <v>1127575332</v>
          </cell>
          <cell r="B2522" t="str">
            <v>CO</v>
          </cell>
          <cell r="C2522" t="str">
            <v>RICO NIETO IVAN</v>
          </cell>
        </row>
        <row r="2523">
          <cell r="A2523">
            <v>1127945219</v>
          </cell>
          <cell r="B2523" t="str">
            <v>CO</v>
          </cell>
          <cell r="C2523" t="str">
            <v>YOLANDA LORENZ SANCHEZ</v>
          </cell>
        </row>
        <row r="2524">
          <cell r="A2524">
            <v>1127945753</v>
          </cell>
          <cell r="B2524" t="str">
            <v>CO</v>
          </cell>
          <cell r="C2524" t="str">
            <v>LORENZ SANCHEZ ROLF</v>
          </cell>
        </row>
        <row r="2525">
          <cell r="A2525">
            <v>1128393923</v>
          </cell>
          <cell r="B2525" t="str">
            <v>CO</v>
          </cell>
          <cell r="C2525" t="str">
            <v>ALZATE ARANGO ANDRES ANTONIO</v>
          </cell>
        </row>
        <row r="2526">
          <cell r="A2526">
            <v>1128400506</v>
          </cell>
          <cell r="B2526" t="str">
            <v>CO</v>
          </cell>
          <cell r="C2526" t="str">
            <v>LAGUNA CUARTAS JHON ERIK</v>
          </cell>
        </row>
        <row r="2527">
          <cell r="A2527">
            <v>1128427140</v>
          </cell>
          <cell r="B2527" t="str">
            <v>CO</v>
          </cell>
          <cell r="C2527" t="str">
            <v>HERNAN DARIO ALZATE VANEGAS</v>
          </cell>
        </row>
        <row r="2528">
          <cell r="A2528">
            <v>1129564705</v>
          </cell>
          <cell r="B2528" t="str">
            <v>CO</v>
          </cell>
          <cell r="C2528" t="str">
            <v>ALBERTO MARIO CASTRO CARDONA</v>
          </cell>
        </row>
        <row r="2529">
          <cell r="A2529">
            <v>1129578923</v>
          </cell>
          <cell r="B2529" t="str">
            <v>CO</v>
          </cell>
          <cell r="C2529" t="str">
            <v>MAYRA ANGELICA MENDEZ BERMUDEZ</v>
          </cell>
        </row>
        <row r="2530">
          <cell r="A2530">
            <v>1130600186</v>
          </cell>
          <cell r="B2530" t="str">
            <v>CO</v>
          </cell>
          <cell r="C2530" t="str">
            <v>JOSEP ROJAS TORRES</v>
          </cell>
        </row>
        <row r="2531">
          <cell r="A2531">
            <v>1130614745</v>
          </cell>
          <cell r="B2531" t="str">
            <v>CO</v>
          </cell>
          <cell r="C2531" t="str">
            <v>ANDRY JULIETH OROZCO ESTRADA</v>
          </cell>
        </row>
        <row r="2532">
          <cell r="A2532">
            <v>1140833562</v>
          </cell>
          <cell r="B2532" t="str">
            <v>CO</v>
          </cell>
          <cell r="C2532" t="str">
            <v>JEAN CARLO ARIZA CORRO</v>
          </cell>
        </row>
        <row r="2533">
          <cell r="A2533">
            <v>1140879155</v>
          </cell>
          <cell r="B2533" t="str">
            <v>CO</v>
          </cell>
          <cell r="C2533" t="str">
            <v>MENDEZ BERMUDEZ ANGIE YULIANA</v>
          </cell>
        </row>
        <row r="2534">
          <cell r="A2534">
            <v>1143382698</v>
          </cell>
          <cell r="B2534" t="str">
            <v>CO</v>
          </cell>
          <cell r="C2534" t="str">
            <v>VILLA MERCADO JESÚS DAVID</v>
          </cell>
        </row>
        <row r="2535">
          <cell r="A2535">
            <v>1152447494</v>
          </cell>
          <cell r="B2535" t="str">
            <v>CO</v>
          </cell>
          <cell r="C2535" t="str">
            <v>GIL ARIAS SARA MARCELA</v>
          </cell>
        </row>
        <row r="2536">
          <cell r="A2536">
            <v>9003425010</v>
          </cell>
          <cell r="B2536" t="str">
            <v>CO</v>
          </cell>
          <cell r="C2536" t="str">
            <v>TRANSPORTES PETROWIL SAS</v>
          </cell>
        </row>
        <row r="2537">
          <cell r="A2537">
            <v>9407270182</v>
          </cell>
          <cell r="B2537" t="str">
            <v>CO</v>
          </cell>
          <cell r="C2537" t="str">
            <v>MONTOYA MONTES JEFFERSON</v>
          </cell>
        </row>
        <row r="2538">
          <cell r="A2538">
            <v>9612021055</v>
          </cell>
          <cell r="B2538" t="str">
            <v>CO</v>
          </cell>
          <cell r="C2538" t="str">
            <v>MALAGON ACHURY KATERINE PAOLA</v>
          </cell>
        </row>
        <row r="2539">
          <cell r="A2539">
            <v>9703191928</v>
          </cell>
          <cell r="B2539" t="str">
            <v>CO</v>
          </cell>
          <cell r="C2539" t="str">
            <v>JOSE DUVAN GONZALEZ CAJICA</v>
          </cell>
        </row>
        <row r="2540">
          <cell r="A2540">
            <v>51906437</v>
          </cell>
          <cell r="C2540" t="str">
            <v xml:space="preserve">FORERO MARTINEZ NUBIA </v>
          </cell>
        </row>
        <row r="2541">
          <cell r="A2541">
            <v>860038350</v>
          </cell>
          <cell r="C2541" t="str">
            <v>ASOCIACION MEDICA DE LOS ANDES</v>
          </cell>
        </row>
        <row r="2542">
          <cell r="A2542">
            <v>900747421</v>
          </cell>
          <cell r="C2542" t="str">
            <v>MORALES ZABALA S.A.S</v>
          </cell>
        </row>
        <row r="2543">
          <cell r="A2543">
            <v>79340047</v>
          </cell>
          <cell r="C2543" t="str">
            <v>SUPELANO CAMARGO CARLOS ARTURO</v>
          </cell>
        </row>
        <row r="2544">
          <cell r="A2544">
            <v>900688542</v>
          </cell>
          <cell r="C2544" t="str">
            <v>DIGIPHONICA COLOMBIA S.A.S</v>
          </cell>
        </row>
        <row r="2545">
          <cell r="A2545">
            <v>830111107</v>
          </cell>
          <cell r="C2545" t="str">
            <v>INVERSIONES DIVEL S EN C</v>
          </cell>
        </row>
        <row r="2546">
          <cell r="A2546">
            <v>4080383</v>
          </cell>
          <cell r="C2546" t="str">
            <v>GUERRERO NEPTALI</v>
          </cell>
        </row>
        <row r="2547">
          <cell r="A2547">
            <v>35459892</v>
          </cell>
          <cell r="C2547" t="str">
            <v>BORRAEZ PARDO CLAUDIA CECILIA</v>
          </cell>
        </row>
        <row r="2548">
          <cell r="A2548">
            <v>900251584</v>
          </cell>
          <cell r="C2548" t="str">
            <v>SOLUCIONES DE IMPRESIÓN CORPORATIVA SAS</v>
          </cell>
        </row>
        <row r="2549">
          <cell r="A2549">
            <v>900029983</v>
          </cell>
          <cell r="C2549" t="str">
            <v>COUNTRY PARK S.A.S.</v>
          </cell>
        </row>
        <row r="2550">
          <cell r="A2550">
            <v>80169315</v>
          </cell>
          <cell r="C2550" t="str">
            <v>PANDEBONOS GOURMET</v>
          </cell>
        </row>
        <row r="2551">
          <cell r="A2551">
            <v>19225978</v>
          </cell>
          <cell r="C2551" t="str">
            <v>GUSTAVO MORENO</v>
          </cell>
        </row>
        <row r="2552">
          <cell r="A2552">
            <v>860004763</v>
          </cell>
          <cell r="C2552" t="str">
            <v>FLOTA AGUILA S.A.</v>
          </cell>
        </row>
        <row r="2553">
          <cell r="A2553">
            <v>1010172771</v>
          </cell>
          <cell r="C2553" t="str">
            <v>BOHORQUEZ HERRERA EDWIN ALEJANDRO</v>
          </cell>
        </row>
        <row r="2554">
          <cell r="A2554">
            <v>80036009</v>
          </cell>
          <cell r="C2554" t="str">
            <v>MALDONADO MOLINA LUIS ANTONIO</v>
          </cell>
        </row>
        <row r="2555">
          <cell r="A2555">
            <v>900300055</v>
          </cell>
          <cell r="C2555" t="str">
            <v>ADMINISTRACION PRIME TOWER S.A.S.</v>
          </cell>
        </row>
        <row r="2556">
          <cell r="A2556">
            <v>19261743</v>
          </cell>
          <cell r="C2556" t="str">
            <v>HERNANDEZ LADINO HECTOR</v>
          </cell>
        </row>
        <row r="2557">
          <cell r="A2557">
            <v>519476</v>
          </cell>
          <cell r="C2557" t="str">
            <v>PALMA VALERA JOSE</v>
          </cell>
        </row>
        <row r="2558">
          <cell r="A2558">
            <v>900458310</v>
          </cell>
          <cell r="C2558" t="str">
            <v>DSINK STORE S.A.S.</v>
          </cell>
        </row>
        <row r="2559">
          <cell r="A2559">
            <v>800046713</v>
          </cell>
          <cell r="C2559" t="str">
            <v>ESTACION DE SERVICIO EL PIRE LTDA</v>
          </cell>
        </row>
        <row r="2560">
          <cell r="A2560">
            <v>35537218</v>
          </cell>
          <cell r="C2560" t="str">
            <v>STOP SUPERMARKET</v>
          </cell>
        </row>
        <row r="2561">
          <cell r="A2561">
            <v>1019031318</v>
          </cell>
          <cell r="C2561" t="str">
            <v>PARQUEDEROS QUINTARUEDA</v>
          </cell>
        </row>
        <row r="2562">
          <cell r="A2562">
            <v>79884959</v>
          </cell>
          <cell r="C2562" t="str">
            <v>BELTRAN PINILLA SEGUNDO ALGELICO</v>
          </cell>
        </row>
        <row r="2563">
          <cell r="A2563">
            <v>860032095</v>
          </cell>
          <cell r="C2563" t="str">
            <v>PARQUEADEROS YA S.A.S</v>
          </cell>
        </row>
        <row r="2564">
          <cell r="A2564">
            <v>1014187296</v>
          </cell>
          <cell r="C2564" t="str">
            <v>CALIXTO TARAZONA JHONATTAN REMBRANDT</v>
          </cell>
        </row>
        <row r="2565">
          <cell r="A2565">
            <v>900336027</v>
          </cell>
          <cell r="C2565" t="str">
            <v>LINUX ELECTRONICA Y TECNOLOGIA S.A.S</v>
          </cell>
        </row>
        <row r="2566">
          <cell r="A2566">
            <v>830011743</v>
          </cell>
          <cell r="C2566" t="str">
            <v>MERCADOS EL LIDER SAN FRANCISCO</v>
          </cell>
        </row>
        <row r="2567">
          <cell r="A2567">
            <v>19058780</v>
          </cell>
          <cell r="C2567" t="str">
            <v>RAMIREZ JULIO ENRIQUE</v>
          </cell>
        </row>
        <row r="2568">
          <cell r="A2568">
            <v>900472505</v>
          </cell>
          <cell r="C2568" t="str">
            <v>INVERSIONES Y DISTRIBUCIONES ALIMENTICIAS S.A.S</v>
          </cell>
        </row>
        <row r="2569">
          <cell r="A2569">
            <v>900267571</v>
          </cell>
          <cell r="C2569" t="str">
            <v>PORKYS PARRILLA BAR LTDA</v>
          </cell>
        </row>
        <row r="2570">
          <cell r="A2570">
            <v>900686323</v>
          </cell>
          <cell r="C2570" t="str">
            <v>LAVA AUTOS H.C. S.A.S</v>
          </cell>
        </row>
        <row r="2571">
          <cell r="A2571">
            <v>900417620</v>
          </cell>
          <cell r="C2571" t="str">
            <v>VISION SECURITY SOLUCIONS SAS</v>
          </cell>
        </row>
        <row r="2572">
          <cell r="A2572">
            <v>830049334</v>
          </cell>
          <cell r="C2572" t="str">
            <v>REDES Y COMPUTADORES LTDA</v>
          </cell>
        </row>
        <row r="2573">
          <cell r="A2573">
            <v>900426439</v>
          </cell>
          <cell r="C2573" t="str">
            <v>DICMELECTRIC PM SAS</v>
          </cell>
        </row>
        <row r="2574">
          <cell r="A2574">
            <v>19315078</v>
          </cell>
          <cell r="C2574" t="str">
            <v>RIOS HERRERA GUILLERMO</v>
          </cell>
        </row>
        <row r="2575">
          <cell r="A2575">
            <v>51618711</v>
          </cell>
          <cell r="C2575" t="str">
            <v>SANCHEZ LONDOÑO MARLEN</v>
          </cell>
        </row>
        <row r="2576">
          <cell r="A2576">
            <v>830133296</v>
          </cell>
          <cell r="C2576" t="str">
            <v>MANGUERAS Y MONTAJES LTDA</v>
          </cell>
        </row>
        <row r="2577">
          <cell r="A2577">
            <v>1072649421</v>
          </cell>
          <cell r="C2577" t="str">
            <v>SERRANO ERNESTO</v>
          </cell>
        </row>
        <row r="2578">
          <cell r="A2578">
            <v>900160171</v>
          </cell>
          <cell r="C2578" t="str">
            <v>PUNTO FERTIL S.A.</v>
          </cell>
        </row>
        <row r="2579">
          <cell r="A2579">
            <v>65691901</v>
          </cell>
          <cell r="C2579" t="str">
            <v>REINOSO RODRIGUEZ BEATRIZ</v>
          </cell>
        </row>
        <row r="2580">
          <cell r="A2580">
            <v>11310308</v>
          </cell>
          <cell r="C2580" t="str">
            <v>LOZANO GONZALEZ ALEXANDER</v>
          </cell>
        </row>
        <row r="2581">
          <cell r="A2581">
            <v>70695997</v>
          </cell>
          <cell r="C2581" t="str">
            <v>GIRALDO ZULUAGA WILTON ANTONIO</v>
          </cell>
        </row>
        <row r="2582">
          <cell r="A2582">
            <v>900510412</v>
          </cell>
          <cell r="C2582" t="str">
            <v>COMBUSTIBLES VENECIA S.A.S</v>
          </cell>
        </row>
        <row r="2583">
          <cell r="A2583">
            <v>900843297</v>
          </cell>
          <cell r="C2583" t="str">
            <v>CONCESION VIAL DE LOS LLANOS S.A.S</v>
          </cell>
        </row>
        <row r="2584">
          <cell r="A2584">
            <v>900714023</v>
          </cell>
          <cell r="C2584" t="str">
            <v>PINTUOMEGA S.A.S</v>
          </cell>
        </row>
        <row r="2585">
          <cell r="A2585">
            <v>311807</v>
          </cell>
          <cell r="C2585" t="str">
            <v>RODRIGUEZ HERRERA CERVELEON</v>
          </cell>
        </row>
        <row r="2586">
          <cell r="A2586">
            <v>900243596</v>
          </cell>
          <cell r="C2586" t="str">
            <v>C I MADILANA SAS</v>
          </cell>
        </row>
        <row r="2587">
          <cell r="A2587">
            <v>900456739</v>
          </cell>
          <cell r="C2587" t="str">
            <v>HILTI COLOMBIA S.A.S</v>
          </cell>
        </row>
        <row r="2588">
          <cell r="A2588">
            <v>80215840</v>
          </cell>
          <cell r="C2588" t="str">
            <v>PEREZ PINILLA ANDRES</v>
          </cell>
        </row>
        <row r="2589">
          <cell r="A2589">
            <v>28573015</v>
          </cell>
          <cell r="C2589" t="str">
            <v>ESTUPIÑAN DE CUESTAS MARIA CARMENZA</v>
          </cell>
        </row>
        <row r="2590">
          <cell r="A2590">
            <v>800151127</v>
          </cell>
          <cell r="C2590" t="str">
            <v>BELLTEC LTDA</v>
          </cell>
        </row>
        <row r="2591">
          <cell r="A2591">
            <v>1010219221</v>
          </cell>
          <cell r="C2591" t="str">
            <v>QUEVEDO TORRES RAFAEL GUILLERMO</v>
          </cell>
        </row>
        <row r="2592">
          <cell r="A2592">
            <v>35199568</v>
          </cell>
          <cell r="C2592" t="str">
            <v>MEDINA PEÑA MARIA LUZ DELIA</v>
          </cell>
        </row>
        <row r="2593">
          <cell r="A2593">
            <v>900123940</v>
          </cell>
          <cell r="C2593" t="str">
            <v>COMERCIAL AUTOCENTRO LTDA</v>
          </cell>
        </row>
        <row r="2594">
          <cell r="A2594">
            <v>1018431767</v>
          </cell>
          <cell r="C2594" t="str">
            <v>ANDRADE RODRIGUEZ LUIS ALEJANDRO</v>
          </cell>
        </row>
        <row r="2595">
          <cell r="A2595">
            <v>900007209</v>
          </cell>
          <cell r="C2595" t="str">
            <v>POLIETILENOS Y POLIPROPILENOS J.C. E.U.</v>
          </cell>
        </row>
        <row r="2596">
          <cell r="A2596">
            <v>800061582</v>
          </cell>
          <cell r="C2596" t="str">
            <v>EDS MOBIL LLANTA BAJA</v>
          </cell>
        </row>
        <row r="2597">
          <cell r="A2597">
            <v>890301886</v>
          </cell>
          <cell r="C2597" t="str">
            <v>FANALCA S.A.</v>
          </cell>
        </row>
        <row r="2598">
          <cell r="A2598">
            <v>11336386</v>
          </cell>
          <cell r="C2598" t="str">
            <v>PINZON FRANCISCO EDUARDO</v>
          </cell>
        </row>
        <row r="2599">
          <cell r="A2599">
            <v>7335131</v>
          </cell>
          <cell r="C2599" t="str">
            <v>TORO BERNAL YUBER HERNAN</v>
          </cell>
        </row>
        <row r="2600">
          <cell r="A2600">
            <v>1073233822</v>
          </cell>
          <cell r="C2600" t="str">
            <v>RAMIREZ BEJARANO PEDRO PABLO</v>
          </cell>
        </row>
        <row r="2601">
          <cell r="A2601">
            <v>900074949</v>
          </cell>
          <cell r="C2601" t="str">
            <v>INVERSIONES DELBA LTDA</v>
          </cell>
        </row>
        <row r="2602">
          <cell r="A2602">
            <v>830076635</v>
          </cell>
          <cell r="C2602" t="str">
            <v>REPRESENTACIONES SANTA MARIA S.A.S</v>
          </cell>
        </row>
        <row r="2603">
          <cell r="A2603">
            <v>832005910</v>
          </cell>
          <cell r="C2603" t="str">
            <v>ESTACION DE SERVICIO AUTOCENTRO SOACHA</v>
          </cell>
        </row>
        <row r="2604">
          <cell r="A2604">
            <v>900341172</v>
          </cell>
          <cell r="C2604" t="str">
            <v>CENTRO EMPRESARIAL ARRECIFE</v>
          </cell>
        </row>
        <row r="2605">
          <cell r="A2605">
            <v>80741205</v>
          </cell>
          <cell r="C2605" t="str">
            <v>CORTES CONTRERAS MILLER ALFREDO</v>
          </cell>
        </row>
        <row r="2606">
          <cell r="A2606">
            <v>41773859</v>
          </cell>
          <cell r="C2606" t="str">
            <v>BELTRAN PATACON MARTHA LUCIA</v>
          </cell>
        </row>
        <row r="2607">
          <cell r="A2607">
            <v>79203426</v>
          </cell>
          <cell r="C2607" t="str">
            <v>ESCOBAR RAMIREZ JOSE FILIBARDO</v>
          </cell>
        </row>
        <row r="2608">
          <cell r="A2608">
            <v>800155413</v>
          </cell>
          <cell r="C2608" t="str">
            <v>ACCION SOCIEDAD FIDUCIARIA S.A </v>
          </cell>
        </row>
        <row r="2609">
          <cell r="A2609">
            <v>79584350</v>
          </cell>
          <cell r="C2609" t="str">
            <v>QUINTERO HERRERA JONY ALEXANDER</v>
          </cell>
        </row>
        <row r="2610">
          <cell r="A2610">
            <v>900407432</v>
          </cell>
          <cell r="C2610" t="str">
            <v>L&amp;C S A S</v>
          </cell>
        </row>
        <row r="2611">
          <cell r="A2611">
            <v>19237940</v>
          </cell>
          <cell r="C2611" t="str">
            <v>EDUARDO PACHECO JUVINAO</v>
          </cell>
        </row>
        <row r="2612">
          <cell r="A2612">
            <v>900534784</v>
          </cell>
          <cell r="C2612" t="str">
            <v>IMPORINDUSTRIAL C2 S.A.S.</v>
          </cell>
        </row>
        <row r="2613">
          <cell r="A2613">
            <v>20644178</v>
          </cell>
          <cell r="C2613" t="str">
            <v>CASAS URREGO DORA ALBA</v>
          </cell>
        </row>
        <row r="2614">
          <cell r="A2614">
            <v>79623222</v>
          </cell>
          <cell r="C2614" t="str">
            <v>GERMAN CONTRERAS</v>
          </cell>
        </row>
        <row r="2615">
          <cell r="A2615">
            <v>15433185</v>
          </cell>
          <cell r="C2615" t="str">
            <v>CARLOS GIRALDO</v>
          </cell>
        </row>
        <row r="2616">
          <cell r="A2616">
            <v>900380028</v>
          </cell>
          <cell r="C2616" t="str">
            <v>INMOBILIARIA CENTRO SAN MARTIN</v>
          </cell>
        </row>
        <row r="2617">
          <cell r="A2617">
            <v>19383901</v>
          </cell>
          <cell r="C2617" t="str">
            <v>RUBEN DARIO ACOSTA</v>
          </cell>
        </row>
        <row r="2618">
          <cell r="A2618">
            <v>1057595451</v>
          </cell>
          <cell r="C2618" t="str">
            <v>BRAYANNE BECERRA</v>
          </cell>
        </row>
        <row r="2619">
          <cell r="A2619">
            <v>28566074</v>
          </cell>
          <cell r="C2619" t="str">
            <v>MARIA VICTORIA PALMA</v>
          </cell>
        </row>
        <row r="2620">
          <cell r="A2620">
            <v>1030557081</v>
          </cell>
          <cell r="C2620" t="str">
            <v>KENNY MARTIN SANCHEZ</v>
          </cell>
        </row>
        <row r="2621">
          <cell r="A2621">
            <v>52911789</v>
          </cell>
          <cell r="C2621" t="str">
            <v>MILENA PATRICIA SALAZAR</v>
          </cell>
        </row>
        <row r="2622">
          <cell r="A2622">
            <v>800221916</v>
          </cell>
          <cell r="C2622" t="str">
            <v>FUSIBLES JAVISAR</v>
          </cell>
        </row>
        <row r="2623">
          <cell r="A2623">
            <v>800092946</v>
          </cell>
          <cell r="C2623" t="str">
            <v>COOTRANSCOTA</v>
          </cell>
        </row>
        <row r="2624">
          <cell r="A2624">
            <v>800149523</v>
          </cell>
          <cell r="C2624" t="str">
            <v>TRANSMULTIMAC LTDA</v>
          </cell>
        </row>
        <row r="2625">
          <cell r="A2625">
            <v>830042052</v>
          </cell>
          <cell r="C2625" t="str">
            <v>FONDO DE INVERSION DROMAS LTDA</v>
          </cell>
        </row>
        <row r="2626">
          <cell r="A2626">
            <v>51909812</v>
          </cell>
          <cell r="C2626" t="str">
            <v>AMANDA CORREA CAMACHO</v>
          </cell>
        </row>
        <row r="2627">
          <cell r="A2627">
            <v>830089544</v>
          </cell>
          <cell r="C2627" t="str">
            <v>PARQUEADEROS I C 72 S A S</v>
          </cell>
        </row>
        <row r="2628">
          <cell r="A2628">
            <v>800137292</v>
          </cell>
          <cell r="C2628" t="str">
            <v>INVER MUÑOZ LTDA</v>
          </cell>
        </row>
        <row r="2629">
          <cell r="A2629">
            <v>900101550</v>
          </cell>
          <cell r="C2629" t="str">
            <v>GRUPO HAIKAL S.A.S.</v>
          </cell>
        </row>
        <row r="2630">
          <cell r="A2630">
            <v>19192032</v>
          </cell>
          <cell r="C2630" t="str">
            <v>FABIO BURBANO MORA</v>
          </cell>
        </row>
        <row r="2631">
          <cell r="A2631">
            <v>860046027</v>
          </cell>
          <cell r="C2631" t="str">
            <v>DROGUERIA UNICA DEL NORTE</v>
          </cell>
        </row>
        <row r="2632">
          <cell r="A2632">
            <v>900475832</v>
          </cell>
          <cell r="C2632" t="str">
            <v>ORCA GF S.A.S.</v>
          </cell>
        </row>
        <row r="2633">
          <cell r="A2633">
            <v>900470580</v>
          </cell>
          <cell r="C2633" t="str">
            <v>SALAZON STEAK HOUSE</v>
          </cell>
        </row>
        <row r="2634">
          <cell r="A2634">
            <v>1014182653</v>
          </cell>
          <cell r="C2634" t="str">
            <v>KARENT JOHANA BUITRAGO</v>
          </cell>
        </row>
        <row r="2635">
          <cell r="A2635">
            <v>79742533</v>
          </cell>
          <cell r="C2635" t="str">
            <v>NOEL HERMES TORRES RAMIREZ</v>
          </cell>
        </row>
        <row r="2636">
          <cell r="A2636">
            <v>39773948</v>
          </cell>
          <cell r="C2636" t="str">
            <v>GARCIA MARIELA</v>
          </cell>
        </row>
        <row r="2637">
          <cell r="A2637">
            <v>30081347</v>
          </cell>
          <cell r="C2637" t="str">
            <v>SANCHEZ REYES LUZ ANGELICA</v>
          </cell>
        </row>
        <row r="2638">
          <cell r="A2638">
            <v>1033766261</v>
          </cell>
          <cell r="C2638" t="str">
            <v>ROJAS AVILA FREDDY MAURICIO</v>
          </cell>
        </row>
        <row r="2639">
          <cell r="A2639">
            <v>1121899883</v>
          </cell>
          <cell r="C2639" t="str">
            <v>LOSADA BETANCUR LADY JHOANA</v>
          </cell>
        </row>
        <row r="2640">
          <cell r="A2640">
            <v>900323190</v>
          </cell>
          <cell r="C2640" t="str">
            <v>MONTACARGAS DE OCCIDENTE AL DIA LTDA</v>
          </cell>
        </row>
        <row r="2641">
          <cell r="A2641">
            <v>900001735</v>
          </cell>
          <cell r="C2641" t="str">
            <v>CENTRO COMERCIAL PALATINO P.H.</v>
          </cell>
        </row>
        <row r="2642">
          <cell r="A2642">
            <v>35527895</v>
          </cell>
          <cell r="C2642" t="str">
            <v>GARCIA PALACIOS GLORIA INES</v>
          </cell>
        </row>
        <row r="2643">
          <cell r="A2643">
            <v>900146950</v>
          </cell>
          <cell r="C2643" t="str">
            <v xml:space="preserve">GRAN ESTACION CENTRO COMERCIAL </v>
          </cell>
        </row>
        <row r="2644">
          <cell r="A2644">
            <v>80087552</v>
          </cell>
          <cell r="C2644" t="str">
            <v>OSCAR MATIZ ALDANA</v>
          </cell>
        </row>
        <row r="2645">
          <cell r="A2645">
            <v>900136510</v>
          </cell>
          <cell r="C2645" t="str">
            <v>ELECTRONICS SAS</v>
          </cell>
        </row>
        <row r="2646">
          <cell r="A2646">
            <v>41534444</v>
          </cell>
          <cell r="C2646" t="str">
            <v>IBARRA LEONOR</v>
          </cell>
        </row>
        <row r="2647">
          <cell r="A2647">
            <v>38244697</v>
          </cell>
          <cell r="C2647" t="str">
            <v>MADRIGAL DELGADO MARIA P</v>
          </cell>
        </row>
        <row r="2648">
          <cell r="A2648">
            <v>830039524</v>
          </cell>
          <cell r="C2648" t="str">
            <v>SOLUSISTEMAS LTDA</v>
          </cell>
        </row>
        <row r="2649">
          <cell r="A2649">
            <v>41687513</v>
          </cell>
          <cell r="C2649" t="str">
            <v>FRANCO GARCIA YAZMIN SORAYA</v>
          </cell>
        </row>
        <row r="2650">
          <cell r="A2650">
            <v>900521998</v>
          </cell>
          <cell r="C2650" t="str">
            <v>GAS DOBLE L S.A.S.</v>
          </cell>
        </row>
        <row r="2651">
          <cell r="A2651">
            <v>19300847</v>
          </cell>
          <cell r="C2651" t="str">
            <v>MENJURA CASTELLANOS JORGE ANTONIO</v>
          </cell>
        </row>
        <row r="2652">
          <cell r="A2652">
            <v>1019019608</v>
          </cell>
          <cell r="C2652" t="str">
            <v>LUIS ANDRES BAYONA</v>
          </cell>
        </row>
        <row r="2653">
          <cell r="A2653">
            <v>52796279</v>
          </cell>
          <cell r="C2653" t="str">
            <v>ARLEDIS SANCHEZ</v>
          </cell>
        </row>
        <row r="2654">
          <cell r="A2654">
            <v>900939736</v>
          </cell>
          <cell r="C2654" t="str">
            <v>ALMAVE SAS</v>
          </cell>
        </row>
        <row r="2655">
          <cell r="A2655">
            <v>1030607655</v>
          </cell>
          <cell r="C2655" t="str">
            <v>VANEGAS MENDEZ ERIKA TATIANA</v>
          </cell>
        </row>
        <row r="2656">
          <cell r="A2656">
            <v>900397709</v>
          </cell>
          <cell r="C2656" t="str">
            <v>MOTOR OIL S.A.S</v>
          </cell>
        </row>
        <row r="2657">
          <cell r="A2657">
            <v>900906761</v>
          </cell>
          <cell r="C2657" t="str">
            <v>MOD COLOMBIA SAS</v>
          </cell>
        </row>
        <row r="2658">
          <cell r="A2658">
            <v>900586379</v>
          </cell>
          <cell r="C2658" t="str">
            <v>INDUSTRIAS PROPAPEL SAS</v>
          </cell>
        </row>
        <row r="2659">
          <cell r="A2659">
            <v>900458729</v>
          </cell>
          <cell r="C2659" t="str">
            <v>INVERSIONES ELITE DE COLOMBIA SAS</v>
          </cell>
        </row>
        <row r="2660">
          <cell r="A2660">
            <v>832001697</v>
          </cell>
          <cell r="C2660" t="str">
            <v>EDS PUEBLO VIEJO LTDA</v>
          </cell>
        </row>
        <row r="2661">
          <cell r="A2661">
            <v>80159971</v>
          </cell>
          <cell r="C2661" t="str">
            <v>JONATHAN CAICEDO</v>
          </cell>
        </row>
        <row r="2662">
          <cell r="A2662">
            <v>19300847</v>
          </cell>
          <cell r="C2662" t="str">
            <v>MENJURA CASTELLANOS JORGE ANTONIO</v>
          </cell>
        </row>
        <row r="2663">
          <cell r="A2663">
            <v>900939736</v>
          </cell>
          <cell r="C2663" t="str">
            <v>ALMAVE S A S</v>
          </cell>
        </row>
        <row r="2664">
          <cell r="A2664">
            <v>900373938</v>
          </cell>
          <cell r="C2664" t="str">
            <v>ATODATINTA LTDA</v>
          </cell>
        </row>
        <row r="2665">
          <cell r="A2665">
            <v>74242506</v>
          </cell>
          <cell r="C2665" t="str">
            <v>LUIS FERNANDO ESPITIA</v>
          </cell>
        </row>
        <row r="2666">
          <cell r="A2666">
            <v>811036515</v>
          </cell>
          <cell r="C2666" t="str">
            <v>ASOCIACION DE TRANSPORTADORES ESPECIALES</v>
          </cell>
        </row>
        <row r="2667">
          <cell r="A2667">
            <v>41357810</v>
          </cell>
          <cell r="C2667" t="str">
            <v>IRENE CASTEÑEDA DE CASTIBLANCO</v>
          </cell>
        </row>
        <row r="2668">
          <cell r="A2668">
            <v>900804583</v>
          </cell>
          <cell r="C2668" t="str">
            <v>OP COMBUSTIBLES SAS</v>
          </cell>
        </row>
        <row r="2669">
          <cell r="A2669">
            <v>52160767</v>
          </cell>
          <cell r="C2669" t="str">
            <v>HERNANDEZ NOHORA ISABEL</v>
          </cell>
        </row>
        <row r="2670">
          <cell r="A2670">
            <v>830143566</v>
          </cell>
          <cell r="C2670" t="str">
            <v>INVERSIONES ROMERO RODRIGUEZ LTDA</v>
          </cell>
        </row>
        <row r="2671">
          <cell r="A2671">
            <v>900364175</v>
          </cell>
          <cell r="C2671" t="str">
            <v>TECHNO QUALITY S.A.S</v>
          </cell>
        </row>
        <row r="2672">
          <cell r="A2672">
            <v>19100398</v>
          </cell>
          <cell r="C2672" t="str">
            <v>TOVAR JAIME</v>
          </cell>
        </row>
        <row r="2673">
          <cell r="A2673">
            <v>900541077</v>
          </cell>
          <cell r="C2673" t="str">
            <v>INK ULTRA S.A.S</v>
          </cell>
        </row>
        <row r="2674">
          <cell r="A2674">
            <v>900250321</v>
          </cell>
          <cell r="C2674" t="str">
            <v>INVERSIONES MORENO BARRIGA &amp; CIA S EN C</v>
          </cell>
        </row>
        <row r="2675">
          <cell r="A2675">
            <v>72151045</v>
          </cell>
          <cell r="C2675" t="str">
            <v>EDINSON ROMERO</v>
          </cell>
        </row>
        <row r="2676">
          <cell r="A2676">
            <v>830080675</v>
          </cell>
          <cell r="C2676" t="str">
            <v>MUNDIAL DE DOBLECES SAS</v>
          </cell>
        </row>
        <row r="2677">
          <cell r="A2677">
            <v>12541594</v>
          </cell>
          <cell r="C2677" t="str">
            <v>OSCAR FERNANDO MARTINEZ BUSTAMANTE</v>
          </cell>
        </row>
        <row r="2678">
          <cell r="A2678">
            <v>80173451</v>
          </cell>
          <cell r="C2678" t="str">
            <v>CARO RIVERA JUAN CARLOS</v>
          </cell>
        </row>
        <row r="2679">
          <cell r="A2679">
            <v>79823690</v>
          </cell>
          <cell r="C2679" t="str">
            <v>CHACON PEDRO DANIEL</v>
          </cell>
        </row>
        <row r="2680">
          <cell r="A2680">
            <v>19362375</v>
          </cell>
          <cell r="C2680" t="str">
            <v>PARQUEADERO GOMEZ ALARCON</v>
          </cell>
        </row>
        <row r="2681">
          <cell r="A2681">
            <v>900153970</v>
          </cell>
          <cell r="C2681" t="str">
            <v>INVERSIONES LUJAM LTDA</v>
          </cell>
        </row>
        <row r="2682">
          <cell r="A2682">
            <v>1233490362</v>
          </cell>
          <cell r="C2682" t="str">
            <v>BAUTISTA MARTINEZ PAULA ANDREA</v>
          </cell>
        </row>
        <row r="2683">
          <cell r="A2683">
            <v>900490216</v>
          </cell>
          <cell r="C2683" t="str">
            <v>EM AUTOMATIZACIONES Y SERVICIOS S.A.S</v>
          </cell>
        </row>
        <row r="2684">
          <cell r="A2684">
            <v>9431605</v>
          </cell>
          <cell r="C2684" t="str">
            <v>RUIZ PEREZ ANGEL DAVID</v>
          </cell>
        </row>
        <row r="2685">
          <cell r="A2685">
            <v>79611771</v>
          </cell>
          <cell r="C2685" t="str">
            <v>MARTINEZ FLOREZ JORGE WILSON</v>
          </cell>
        </row>
        <row r="2686">
          <cell r="A2686">
            <v>832003749</v>
          </cell>
          <cell r="C2686" t="str">
            <v>INVERSIONES YERBASANTA LTDA</v>
          </cell>
        </row>
        <row r="2687">
          <cell r="A2687">
            <v>900311018</v>
          </cell>
          <cell r="C2687" t="str">
            <v>PIQUETEADERO LAS CONCHITAS</v>
          </cell>
        </row>
        <row r="2688">
          <cell r="A2688">
            <v>900068834</v>
          </cell>
          <cell r="C2688" t="str">
            <v>FABRICARTON S.A.S</v>
          </cell>
        </row>
        <row r="2689">
          <cell r="A2689">
            <v>900657598</v>
          </cell>
          <cell r="C2689" t="str">
            <v>INK STORE S.A.S</v>
          </cell>
        </row>
        <row r="2690">
          <cell r="A2690">
            <v>860069345</v>
          </cell>
          <cell r="C2690" t="str">
            <v>TORNIFER &amp; CIA LTDA</v>
          </cell>
        </row>
        <row r="2691">
          <cell r="A2691">
            <v>900063380</v>
          </cell>
          <cell r="C2691" t="str">
            <v>POWER BATTERY S.A.S</v>
          </cell>
        </row>
        <row r="2692">
          <cell r="A2692">
            <v>811017646</v>
          </cell>
          <cell r="C2692" t="str">
            <v>ACCESORIOS Y VALVULAS S.A</v>
          </cell>
        </row>
        <row r="2693">
          <cell r="A2693">
            <v>19351842</v>
          </cell>
          <cell r="C2693" t="str">
            <v>BELTRAN SUAREZ ISAIAS NORBERTO</v>
          </cell>
        </row>
        <row r="2694">
          <cell r="A2694">
            <v>5660161</v>
          </cell>
          <cell r="C2694" t="str">
            <v>PARQUEADERO LA LUCHA DEL SALAZAR</v>
          </cell>
        </row>
        <row r="2695">
          <cell r="A2695">
            <v>900415864</v>
          </cell>
          <cell r="C2695" t="str">
            <v>MULTISERVICIOS ENERGETICOS S.A.S</v>
          </cell>
        </row>
        <row r="2696">
          <cell r="A2696">
            <v>800097424</v>
          </cell>
          <cell r="C2696" t="str">
            <v>DISTRIBUIDORA LA PUNTA LTDA</v>
          </cell>
        </row>
        <row r="2697">
          <cell r="A2697">
            <v>832005813</v>
          </cell>
          <cell r="C2697" t="str">
            <v>EMPRESA DE ACUEDUCTO COMUNAL DE LA PUNTA</v>
          </cell>
        </row>
        <row r="2698">
          <cell r="A2698">
            <v>79527745</v>
          </cell>
          <cell r="C2698" t="str">
            <v>PEREZ BRICEÑO LUIS MAURICIO</v>
          </cell>
        </row>
        <row r="2699">
          <cell r="A2699">
            <v>900089365</v>
          </cell>
          <cell r="C2699" t="str">
            <v>AUTONATURA LIMITADA</v>
          </cell>
        </row>
        <row r="2700">
          <cell r="A2700">
            <v>4047378</v>
          </cell>
          <cell r="C2700" t="str">
            <v>ALVARADO BOHORQUEZ JUAN DE JESUS</v>
          </cell>
        </row>
        <row r="2701">
          <cell r="A2701">
            <v>7177199</v>
          </cell>
          <cell r="C2701" t="str">
            <v>APONTE FORERO FELIX ANTONIO</v>
          </cell>
        </row>
        <row r="2702">
          <cell r="A2702">
            <v>5868560</v>
          </cell>
          <cell r="C2702" t="str">
            <v>PARQUEADERO CENTRAL</v>
          </cell>
        </row>
        <row r="2703">
          <cell r="A2703">
            <v>900011856</v>
          </cell>
          <cell r="C2703" t="str">
            <v>ECG ELECTRONICS COMERCIALIZADORA S.A.S</v>
          </cell>
        </row>
        <row r="2704">
          <cell r="A2704">
            <v>91160193</v>
          </cell>
          <cell r="C2704" t="str">
            <v>CORZO PANADERIA Y CAFETERIA</v>
          </cell>
        </row>
        <row r="2705">
          <cell r="A2705">
            <v>41349292</v>
          </cell>
          <cell r="C2705" t="str">
            <v>CECILIA GIL DE MATAMOROS</v>
          </cell>
        </row>
        <row r="2706">
          <cell r="A2706">
            <v>3199965</v>
          </cell>
          <cell r="C2706" t="str">
            <v>ACUÑA INFANTE HECTOR HERNAN</v>
          </cell>
        </row>
        <row r="2707">
          <cell r="A2707">
            <v>900305884</v>
          </cell>
          <cell r="C2707" t="str">
            <v>COMERCIALIZADORA WORD TECH S.A.S</v>
          </cell>
        </row>
        <row r="2708">
          <cell r="A2708">
            <v>7310416</v>
          </cell>
          <cell r="C2708" t="str">
            <v>VILLAMIL JAUREGUI EDGAR</v>
          </cell>
        </row>
        <row r="2709">
          <cell r="A2709">
            <v>830513807</v>
          </cell>
          <cell r="C2709" t="str">
            <v>ELECTRO INDUSTRIAL DATA LTDA</v>
          </cell>
        </row>
        <row r="2710">
          <cell r="A2710">
            <v>900063950</v>
          </cell>
          <cell r="C2710" t="str">
            <v>INVERSIONES Y CONSTRUCCIONES COSIAC</v>
          </cell>
        </row>
        <row r="2711">
          <cell r="A2711">
            <v>830503581</v>
          </cell>
          <cell r="C2711" t="str">
            <v>INVERSIONES CAMACHO NUÑES S.A.S</v>
          </cell>
        </row>
        <row r="2712">
          <cell r="A2712">
            <v>39630715</v>
          </cell>
          <cell r="C2712" t="str">
            <v>LUZ MARIA GOMEZ</v>
          </cell>
        </row>
        <row r="2713">
          <cell r="A2713">
            <v>1016012930</v>
          </cell>
          <cell r="C2713" t="str">
            <v>VIDRIOS FUNZA</v>
          </cell>
        </row>
        <row r="2714">
          <cell r="A2714">
            <v>41490513</v>
          </cell>
          <cell r="C2714" t="str">
            <v>SARA EVA REYES DE RODRIGUEZ</v>
          </cell>
        </row>
        <row r="2715">
          <cell r="A2715">
            <v>41648435</v>
          </cell>
          <cell r="C2715" t="str">
            <v>PLASTICOS LA GRANJA</v>
          </cell>
        </row>
        <row r="2716">
          <cell r="A2716">
            <v>22093814</v>
          </cell>
          <cell r="C2716" t="str">
            <v>LUCILA VALENCIA DE RENDON</v>
          </cell>
        </row>
        <row r="2717">
          <cell r="A2717">
            <v>900616963</v>
          </cell>
          <cell r="C2717" t="str">
            <v>INVERSIONES S&amp;S</v>
          </cell>
        </row>
        <row r="2718">
          <cell r="A2718">
            <v>35393484</v>
          </cell>
          <cell r="C2718" t="str">
            <v>ROJAS CADENA FRANCY CAROLINA</v>
          </cell>
        </row>
        <row r="2719">
          <cell r="A2719">
            <v>74372895</v>
          </cell>
          <cell r="C2719" t="str">
            <v>PINEDA MENDIETA CARLOS ANDRES</v>
          </cell>
        </row>
        <row r="2720">
          <cell r="A2720">
            <v>4047378</v>
          </cell>
          <cell r="C2720" t="str">
            <v>ALVARADO BOHORQUEZ JUAN DE JESUS</v>
          </cell>
        </row>
        <row r="2721">
          <cell r="A2721">
            <v>39707556</v>
          </cell>
          <cell r="C2721" t="str">
            <v>NARVAEZ ROSERO GLORIA YANETH</v>
          </cell>
        </row>
        <row r="2722">
          <cell r="A2722">
            <v>39721061</v>
          </cell>
          <cell r="C2722" t="str">
            <v>LEON ALBARRACIN GLADYS</v>
          </cell>
        </row>
        <row r="2723">
          <cell r="A2723">
            <v>41412940</v>
          </cell>
          <cell r="C2723" t="str">
            <v>SALCEDO DE BALLEN MARINA</v>
          </cell>
        </row>
        <row r="2724">
          <cell r="A2724">
            <v>900436002</v>
          </cell>
          <cell r="C2724" t="str">
            <v>TOTAL SAFETY COMPANY SAS</v>
          </cell>
        </row>
        <row r="2725">
          <cell r="A2725">
            <v>900121882</v>
          </cell>
          <cell r="C2725" t="str">
            <v>HIPERCENTRO DE DOTACIONES Y SEGURIDAD S.A.S</v>
          </cell>
        </row>
        <row r="2726">
          <cell r="A2726">
            <v>39818797</v>
          </cell>
          <cell r="C2726" t="str">
            <v>VASALLO BERMUDEZ MARTHA CLEMENCIA</v>
          </cell>
        </row>
        <row r="2727">
          <cell r="A2727">
            <v>900279526</v>
          </cell>
          <cell r="C2727" t="str">
            <v>ELLASI SAS</v>
          </cell>
        </row>
        <row r="2728">
          <cell r="A2728">
            <v>802012179</v>
          </cell>
          <cell r="C2728" t="str">
            <v>DOLMEN S.A. E.S.P.</v>
          </cell>
        </row>
        <row r="2729">
          <cell r="A2729">
            <v>830054364</v>
          </cell>
          <cell r="C2729" t="str">
            <v>SIGN SUPPLY S A</v>
          </cell>
        </row>
        <row r="2730">
          <cell r="A2730">
            <v>900475484</v>
          </cell>
          <cell r="C2730" t="str">
            <v>BC HOTELES S A</v>
          </cell>
        </row>
        <row r="2731">
          <cell r="A2731">
            <v>900191629</v>
          </cell>
          <cell r="C2731" t="str">
            <v>CIGARRERIA Y SEGURIDAD LA COLMENA CONLACOL LTDA</v>
          </cell>
        </row>
        <row r="2732">
          <cell r="A2732">
            <v>830070416</v>
          </cell>
          <cell r="C2732" t="str">
            <v>DISTRIBUIDORA DE BOCADILLOS Y DULCES</v>
          </cell>
        </row>
        <row r="2733">
          <cell r="A2733">
            <v>11408769</v>
          </cell>
          <cell r="C2733" t="str">
            <v>ROJAS PABON JUAN BATUEL</v>
          </cell>
        </row>
        <row r="2734">
          <cell r="A2734">
            <v>830053700</v>
          </cell>
          <cell r="C2734" t="str">
            <v>PATRIMONIOS AUTONOMOS ADMINISTRADOS POR LA SOC FIDUCIARIA DAVIVIENDA</v>
          </cell>
        </row>
        <row r="2735">
          <cell r="A2735">
            <v>1013602199</v>
          </cell>
          <cell r="C2735" t="str">
            <v>PERILLA PINTO ERNESTO ARVEY</v>
          </cell>
        </row>
        <row r="2736">
          <cell r="A2736">
            <v>79711953</v>
          </cell>
          <cell r="C2736" t="str">
            <v>SUAREZ LEMUS LUIS GERARDO</v>
          </cell>
        </row>
        <row r="2737">
          <cell r="A2737">
            <v>830134719</v>
          </cell>
          <cell r="C2737" t="str">
            <v>ELECTRONICA CHINA SAS</v>
          </cell>
        </row>
        <row r="2738">
          <cell r="A2738">
            <v>900958759</v>
          </cell>
          <cell r="C2738" t="str">
            <v>PECITS SAS</v>
          </cell>
        </row>
        <row r="2739">
          <cell r="A2739">
            <v>5678858</v>
          </cell>
          <cell r="C2739" t="str">
            <v>JULIO LIZARAZO LIZARAZO</v>
          </cell>
        </row>
        <row r="2740">
          <cell r="A2740">
            <v>79048137</v>
          </cell>
          <cell r="C2740" t="str">
            <v>ILDER CASTIBLANCO</v>
          </cell>
        </row>
        <row r="2741">
          <cell r="A2741">
            <v>1096206439</v>
          </cell>
          <cell r="C2741" t="str">
            <v>JADER ALVARINO</v>
          </cell>
        </row>
        <row r="2742">
          <cell r="A2742">
            <v>1022424858</v>
          </cell>
          <cell r="C2742" t="str">
            <v>ZAPATA ESTUPIÑAN RAMON ALONSO</v>
          </cell>
        </row>
        <row r="2743">
          <cell r="A2743">
            <v>900807035</v>
          </cell>
          <cell r="C2743" t="str">
            <v>AGUILAR GOMEZ OCHOA SAS</v>
          </cell>
        </row>
        <row r="2744">
          <cell r="A2744">
            <v>4226451</v>
          </cell>
          <cell r="C2744" t="str">
            <v>BAYONA TALERO LUIS EDUARDO</v>
          </cell>
        </row>
        <row r="2745">
          <cell r="A2745">
            <v>80664111</v>
          </cell>
          <cell r="C2745" t="str">
            <v>SANABRIA QUEVEDO CESAR ORLANDO</v>
          </cell>
        </row>
        <row r="2746">
          <cell r="A2746">
            <v>830064403</v>
          </cell>
          <cell r="C2746" t="str">
            <v>CEILIN LTDA</v>
          </cell>
        </row>
        <row r="2747">
          <cell r="A2747">
            <v>830110523</v>
          </cell>
          <cell r="C2747" t="str">
            <v>DISTELEC LD LTDA</v>
          </cell>
        </row>
        <row r="2748">
          <cell r="A2748">
            <v>860520264</v>
          </cell>
          <cell r="C2748" t="str">
            <v>BETACOLOR LTDA</v>
          </cell>
        </row>
        <row r="2749">
          <cell r="A2749">
            <v>1026284341</v>
          </cell>
          <cell r="C2749" t="str">
            <v>ALDANA TOVAR JOHANNA ALEJANDRA</v>
          </cell>
        </row>
        <row r="2750">
          <cell r="A2750">
            <v>900548084</v>
          </cell>
          <cell r="C2750" t="str">
            <v>INVERSIONES VICAMI SAS</v>
          </cell>
        </row>
        <row r="2751">
          <cell r="A2751">
            <v>3028483</v>
          </cell>
          <cell r="C2751" t="str">
            <v>AMAYA GONZALEZ MANUEL DARIO</v>
          </cell>
        </row>
        <row r="2752">
          <cell r="A2752">
            <v>33703579</v>
          </cell>
          <cell r="C2752" t="str">
            <v>SANCHEZ SANDRA MILENA</v>
          </cell>
        </row>
        <row r="2753">
          <cell r="A2753">
            <v>15950816</v>
          </cell>
          <cell r="C2753" t="str">
            <v>CARDONA CORTES GERARDO</v>
          </cell>
        </row>
        <row r="2754">
          <cell r="A2754">
            <v>830065626</v>
          </cell>
          <cell r="C2754" t="str">
            <v>MAGNETIC SAS</v>
          </cell>
        </row>
        <row r="2755">
          <cell r="A2755">
            <v>900475306</v>
          </cell>
          <cell r="C2755" t="str">
            <v>BASFORO SAS</v>
          </cell>
        </row>
        <row r="2756">
          <cell r="A2756">
            <v>800177976</v>
          </cell>
          <cell r="C2756" t="str">
            <v>COMUNICACIONES JRCB SAS</v>
          </cell>
        </row>
        <row r="2757">
          <cell r="A2757">
            <v>51940165</v>
          </cell>
          <cell r="C2757" t="str">
            <v>MORALES GLORIA</v>
          </cell>
        </row>
        <row r="2758">
          <cell r="A2758">
            <v>900063836</v>
          </cell>
          <cell r="C2758" t="str">
            <v>ELECTRO BATTERIES</v>
          </cell>
        </row>
        <row r="2759">
          <cell r="A2759">
            <v>3159549</v>
          </cell>
          <cell r="C2759" t="str">
            <v>HERNANDEZ AHUMADA HENRY</v>
          </cell>
        </row>
        <row r="2760">
          <cell r="A2760">
            <v>900521581</v>
          </cell>
          <cell r="C2760" t="str">
            <v>ELECTTRON COLOMBIA</v>
          </cell>
        </row>
        <row r="2761">
          <cell r="A2761">
            <v>4116661</v>
          </cell>
          <cell r="C2761" t="str">
            <v>BUITRAGO HENRY</v>
          </cell>
        </row>
        <row r="2762">
          <cell r="A2762">
            <v>900123408</v>
          </cell>
          <cell r="C2762" t="str">
            <v>TEXMODA S.A.S.</v>
          </cell>
        </row>
        <row r="2763">
          <cell r="A2763">
            <v>49653429</v>
          </cell>
          <cell r="C2763" t="str">
            <v>OVALLE CUEVAS LILIAM</v>
          </cell>
        </row>
        <row r="2764">
          <cell r="A2764">
            <v>900276962</v>
          </cell>
          <cell r="C2764" t="str">
            <v>KOBA COLOMBIA S.A.S.</v>
          </cell>
        </row>
        <row r="2765">
          <cell r="A2765">
            <v>900544287</v>
          </cell>
          <cell r="C2765" t="str">
            <v>DEPOSITO Y FERRETERIA LAS FERIAS</v>
          </cell>
        </row>
        <row r="2766">
          <cell r="A2766">
            <v>1056592085</v>
          </cell>
          <cell r="C2766" t="str">
            <v>DUEÑAS ESTUPIÑAN ALEXIS</v>
          </cell>
        </row>
        <row r="2767">
          <cell r="A2767">
            <v>890301884</v>
          </cell>
          <cell r="C2767" t="str">
            <v>COLOMBINA SA</v>
          </cell>
        </row>
        <row r="2768">
          <cell r="A2768">
            <v>1018403619</v>
          </cell>
          <cell r="C2768" t="str">
            <v>MORENO CRISTANCHO HILDA MARCELA</v>
          </cell>
        </row>
        <row r="2769">
          <cell r="A2769">
            <v>52968065</v>
          </cell>
          <cell r="C2769" t="str">
            <v>PEÑA FORERO VIVIANA</v>
          </cell>
        </row>
        <row r="2770">
          <cell r="A2770">
            <v>512039</v>
          </cell>
          <cell r="C2770" t="str">
            <v>FABIAN ALFARO</v>
          </cell>
        </row>
        <row r="2771">
          <cell r="A2771">
            <v>1023884981</v>
          </cell>
          <cell r="C2771" t="str">
            <v>PEREZ OCHOA JUAN CARLOS</v>
          </cell>
        </row>
        <row r="2772">
          <cell r="A2772">
            <v>52418401</v>
          </cell>
          <cell r="C2772" t="str">
            <v>LADINO TOCASUCHE ROSA MARIA</v>
          </cell>
        </row>
        <row r="2773">
          <cell r="A2773">
            <v>35355642</v>
          </cell>
          <cell r="C2773" t="str">
            <v>MOLINA LUGO HANNZY DAHANA</v>
          </cell>
        </row>
        <row r="2774">
          <cell r="A2774">
            <v>9524141</v>
          </cell>
          <cell r="C2774" t="str">
            <v>LAVERDE BARRERA LUIS EDUARDO</v>
          </cell>
        </row>
        <row r="2775">
          <cell r="A2775">
            <v>860006797</v>
          </cell>
          <cell r="C2775" t="str">
            <v>GIROS Y FINANZAS CF SA</v>
          </cell>
        </row>
        <row r="2776">
          <cell r="A2776">
            <v>19373665</v>
          </cell>
          <cell r="C2776" t="str">
            <v>PARDO VARGAS ANGEL ANTONIO</v>
          </cell>
        </row>
        <row r="2777">
          <cell r="A2777">
            <v>830089285</v>
          </cell>
          <cell r="C2777" t="str">
            <v>GIORLAU TECHNOLOGY SAS</v>
          </cell>
        </row>
        <row r="2778">
          <cell r="A2778">
            <v>19279033</v>
          </cell>
          <cell r="C2778" t="str">
            <v>CEVALLOS GUTIERREZ HECTOR</v>
          </cell>
        </row>
        <row r="2779">
          <cell r="A2779">
            <v>860002464</v>
          </cell>
          <cell r="C2779" t="str">
            <v>CORFERIAS</v>
          </cell>
        </row>
        <row r="2780">
          <cell r="A2780">
            <v>900525906</v>
          </cell>
          <cell r="C2780" t="str">
            <v>CORFERIAS INVERSIONES SAS</v>
          </cell>
        </row>
        <row r="2781">
          <cell r="A2781">
            <v>830146099</v>
          </cell>
          <cell r="C2781" t="str">
            <v>EDS BRIO SERVYCOM</v>
          </cell>
        </row>
        <row r="2782">
          <cell r="A2782">
            <v>900867149</v>
          </cell>
          <cell r="C2782" t="str">
            <v>HOTEL Y HOSPEDAJE NUEVO NORMANDIAS SAS</v>
          </cell>
        </row>
        <row r="2783">
          <cell r="A2783">
            <v>79144617</v>
          </cell>
          <cell r="C2783" t="str">
            <v>VARGAS JOSE VICENTE</v>
          </cell>
        </row>
        <row r="2784">
          <cell r="A2784">
            <v>900438274</v>
          </cell>
          <cell r="C2784" t="str">
            <v>GRUPO BARSAT SAS</v>
          </cell>
        </row>
        <row r="2785">
          <cell r="A2785">
            <v>80169345</v>
          </cell>
          <cell r="C2785" t="str">
            <v>PASTRANA SANCHEZ ALEJANDRO</v>
          </cell>
        </row>
        <row r="2786">
          <cell r="A2786">
            <v>900676165</v>
          </cell>
          <cell r="C2786" t="str">
            <v>UBER COLOMBIA SAS</v>
          </cell>
        </row>
        <row r="2787">
          <cell r="A2787">
            <v>1074131151</v>
          </cell>
          <cell r="C2787" t="str">
            <v>GUERRERO CARLOS ANDRES</v>
          </cell>
        </row>
        <row r="2788">
          <cell r="A2788">
            <v>8031836</v>
          </cell>
          <cell r="C2788" t="str">
            <v>URIBE BENITEZ ALEX MAURICIO</v>
          </cell>
        </row>
        <row r="2789">
          <cell r="A2789">
            <v>900652752</v>
          </cell>
          <cell r="C2789" t="str">
            <v>GRUPO GRAFCOL</v>
          </cell>
        </row>
        <row r="2790">
          <cell r="A2790">
            <v>1057592971</v>
          </cell>
          <cell r="C2790" t="str">
            <v>PEDRO PUERTO</v>
          </cell>
        </row>
        <row r="2791">
          <cell r="A2791">
            <v>900388495</v>
          </cell>
          <cell r="C2791" t="str">
            <v>TUVAL TECH IND S.A.S.</v>
          </cell>
        </row>
        <row r="2792">
          <cell r="A2792">
            <v>900192414</v>
          </cell>
          <cell r="C2792" t="str">
            <v>TRANSPORTE Y PARQUEO LTDA</v>
          </cell>
        </row>
        <row r="2793">
          <cell r="A2793">
            <v>1095701315</v>
          </cell>
          <cell r="C2793" t="str">
            <v>BALLESTEROS DELGADO FERNANDO</v>
          </cell>
        </row>
        <row r="2794">
          <cell r="A2794">
            <v>830114793</v>
          </cell>
          <cell r="C2794" t="str">
            <v>BRIO MI ESTACION CES LTDA</v>
          </cell>
        </row>
        <row r="2795">
          <cell r="A2795">
            <v>80807642</v>
          </cell>
          <cell r="C2795" t="str">
            <v>FERREDEPOSITO FREDDY</v>
          </cell>
        </row>
        <row r="2796">
          <cell r="A2796">
            <v>25101215</v>
          </cell>
          <cell r="C2796" t="str">
            <v>PLOTTEARQ</v>
          </cell>
        </row>
        <row r="2797">
          <cell r="A2797">
            <v>900144956</v>
          </cell>
          <cell r="C2797" t="str">
            <v>SOCIEDAD HOTELERA CALLE 74 LTDA</v>
          </cell>
        </row>
        <row r="2798">
          <cell r="A2798">
            <v>52533376</v>
          </cell>
          <cell r="C2798" t="str">
            <v>JENNY ALEXANDRA PUENTES</v>
          </cell>
        </row>
        <row r="2799">
          <cell r="A2799">
            <v>830125996</v>
          </cell>
          <cell r="C2799" t="str">
            <v>CONCESIÓN VIAL DEL ORIENTE</v>
          </cell>
        </row>
        <row r="2800">
          <cell r="A2800">
            <v>900959347</v>
          </cell>
          <cell r="C2800" t="str">
            <v>DESCO SERVICIOS SAS</v>
          </cell>
        </row>
        <row r="2801">
          <cell r="A2801">
            <v>91012681</v>
          </cell>
          <cell r="C2801" t="str">
            <v>MARTIN ALONSO TAVERA</v>
          </cell>
        </row>
        <row r="2802">
          <cell r="A2802">
            <v>79275728</v>
          </cell>
          <cell r="C2802" t="str">
            <v>BARRETO CALDERON MARIO</v>
          </cell>
        </row>
        <row r="2803">
          <cell r="A2803">
            <v>2877634</v>
          </cell>
          <cell r="C2803" t="str">
            <v>ABADIA CESAR GUILLERMO</v>
          </cell>
        </row>
        <row r="2804">
          <cell r="A2804">
            <v>11438223</v>
          </cell>
          <cell r="C2804" t="str">
            <v>DIAZ LEON VICTOR AUGUSTO</v>
          </cell>
        </row>
        <row r="2805">
          <cell r="A2805">
            <v>830081566</v>
          </cell>
          <cell r="C2805" t="str">
            <v>DIELCO LTDA</v>
          </cell>
        </row>
        <row r="2806">
          <cell r="A2806">
            <v>900862215</v>
          </cell>
          <cell r="C2806" t="str">
            <v>CONCESIONARIA VIAL DE ORIENTE</v>
          </cell>
        </row>
        <row r="2807">
          <cell r="A2807">
            <v>800065855</v>
          </cell>
          <cell r="C2807" t="str">
            <v>VALVECO SAS</v>
          </cell>
        </row>
        <row r="2808">
          <cell r="A2808">
            <v>15448177</v>
          </cell>
          <cell r="C2808" t="str">
            <v>HERNANDEZ LOAIZA JORGE ARMANDO</v>
          </cell>
        </row>
        <row r="2809">
          <cell r="A2809">
            <v>11438223</v>
          </cell>
          <cell r="C2809" t="str">
            <v>DIAZ LEON VICTOR AUGUSTO</v>
          </cell>
        </row>
        <row r="2810">
          <cell r="A2810">
            <v>830055897</v>
          </cell>
          <cell r="C2810" t="str">
            <v>FIDUCIARIA BOGOTA SA</v>
          </cell>
        </row>
        <row r="2811">
          <cell r="A2811">
            <v>830054539</v>
          </cell>
          <cell r="C2811" t="str">
            <v>PATRIMONIOS AUTONOMOS FIDUCIARIA BANCOLOMBIA S A</v>
          </cell>
        </row>
        <row r="2812">
          <cell r="A2812">
            <v>51692321</v>
          </cell>
          <cell r="C2812" t="str">
            <v>BARCENAS PASSO MARTHA JUDITH</v>
          </cell>
        </row>
        <row r="2813">
          <cell r="A2813">
            <v>1018494603</v>
          </cell>
          <cell r="C2813" t="str">
            <v>OBREGON SUAREZ JEAN ESTEBAN</v>
          </cell>
        </row>
        <row r="2814">
          <cell r="A2814">
            <v>860529157</v>
          </cell>
          <cell r="C2814" t="str">
            <v>ESTACIONAMIENTOS LUGANO SAS</v>
          </cell>
        </row>
        <row r="2815">
          <cell r="A2815">
            <v>41534305</v>
          </cell>
          <cell r="C2815" t="str">
            <v>GALINDO SEPULVEDA ANA</v>
          </cell>
        </row>
        <row r="2816">
          <cell r="A2816">
            <v>900506557</v>
          </cell>
          <cell r="C2816" t="str">
            <v>PRETECSI SAS</v>
          </cell>
        </row>
        <row r="2817">
          <cell r="A2817">
            <v>860404161</v>
          </cell>
          <cell r="C2817" t="str">
            <v>ELECTRO SALGADO SAS</v>
          </cell>
        </row>
        <row r="2818">
          <cell r="A2818">
            <v>800242586</v>
          </cell>
          <cell r="C2818" t="str">
            <v>CENTRAL DE DOTACIONES LTDA</v>
          </cell>
        </row>
        <row r="2819">
          <cell r="A2819">
            <v>24133736</v>
          </cell>
          <cell r="C2819" t="str">
            <v>VELANDIA AVILA SIMONA LUCIA</v>
          </cell>
        </row>
        <row r="2820">
          <cell r="A2820">
            <v>900587037</v>
          </cell>
          <cell r="C2820" t="str">
            <v>COMERCIALIZADORA EPP 1</v>
          </cell>
        </row>
        <row r="2821">
          <cell r="A2821">
            <v>80372999</v>
          </cell>
          <cell r="C2821" t="str">
            <v>MENDEZ BARRERA JUAN EDUARDO</v>
          </cell>
        </row>
        <row r="2822">
          <cell r="A2822">
            <v>1039090799</v>
          </cell>
          <cell r="C2822" t="str">
            <v>NISPERUZA ARRIETA YAISLLETH JUDITH</v>
          </cell>
        </row>
        <row r="2823">
          <cell r="A2823">
            <v>79870028</v>
          </cell>
          <cell r="C2823" t="str">
            <v>RODRIGUEZ HERNANDEZ  MILTON MANOLO</v>
          </cell>
        </row>
        <row r="2824">
          <cell r="A2824">
            <v>800011809</v>
          </cell>
          <cell r="C2824" t="str">
            <v>SUMINISTROS HIDRAULICOS SAS</v>
          </cell>
        </row>
        <row r="2825">
          <cell r="A2825">
            <v>830136498</v>
          </cell>
          <cell r="C2825" t="str">
            <v>EAL HOUSE SAS</v>
          </cell>
        </row>
        <row r="2826">
          <cell r="A2826">
            <v>3181093</v>
          </cell>
          <cell r="C2826" t="str">
            <v>NUEVO PARQUEADERO GARAVITO</v>
          </cell>
        </row>
        <row r="2827">
          <cell r="A2827">
            <v>830038062</v>
          </cell>
          <cell r="C2827" t="str">
            <v>FRANQUICIAS LATINOAMERICANAS SA</v>
          </cell>
        </row>
        <row r="2828">
          <cell r="A2828">
            <v>9007922997</v>
          </cell>
          <cell r="C2828" t="str">
            <v>MB DIMCO SAS</v>
          </cell>
        </row>
        <row r="2829">
          <cell r="A2829">
            <v>900151641</v>
          </cell>
          <cell r="C2829" t="str">
            <v>AUTO PARKING COLOMBIA SAS</v>
          </cell>
        </row>
        <row r="2830">
          <cell r="A2830">
            <v>900176749</v>
          </cell>
          <cell r="C2830" t="str">
            <v xml:space="preserve">PUNTO CONSTRUCTOR </v>
          </cell>
        </row>
        <row r="2831">
          <cell r="A2831">
            <v>800251165</v>
          </cell>
          <cell r="C2831" t="str">
            <v>CIA FERRETERIA DE ANJEOS Y MALLAS LTDA</v>
          </cell>
        </row>
        <row r="2832">
          <cell r="A2832">
            <v>900454514</v>
          </cell>
          <cell r="C2832" t="str">
            <v>PRODUCTOS Y SERVICIOS CAPITAL</v>
          </cell>
        </row>
        <row r="2833">
          <cell r="A2833">
            <v>830032687</v>
          </cell>
          <cell r="C2833" t="str">
            <v>CENTRO ILARCO</v>
          </cell>
        </row>
        <row r="2834">
          <cell r="A2834">
            <v>1014221802</v>
          </cell>
          <cell r="C2834" t="str">
            <v>LEONARDO BRICEÑO</v>
          </cell>
        </row>
        <row r="2835">
          <cell r="A2835">
            <v>900011057</v>
          </cell>
          <cell r="C2835" t="str">
            <v>TECFIN INTERNACIONAL</v>
          </cell>
        </row>
        <row r="2836">
          <cell r="A2836">
            <v>900156079</v>
          </cell>
          <cell r="C2836" t="str">
            <v>TECNO MEDICION</v>
          </cell>
        </row>
        <row r="2837">
          <cell r="A2837">
            <v>860514851</v>
          </cell>
          <cell r="C2837" t="str">
            <v xml:space="preserve">DISCORREAS MANGUERAS Y EMPAQUES </v>
          </cell>
        </row>
        <row r="2838">
          <cell r="A2838">
            <v>830076766</v>
          </cell>
          <cell r="C2838" t="str">
            <v>IMPORTACIONES ARDILA Y CARREÑO</v>
          </cell>
        </row>
        <row r="2839">
          <cell r="A2839">
            <v>51613803</v>
          </cell>
          <cell r="C2839" t="str">
            <v>LUZ ANGELA MOLINA</v>
          </cell>
        </row>
        <row r="2840">
          <cell r="A2840">
            <v>4377823</v>
          </cell>
          <cell r="C2840" t="str">
            <v>RESTAURANTE SAN CHORIZO</v>
          </cell>
        </row>
        <row r="2841">
          <cell r="A2841">
            <v>900390472</v>
          </cell>
          <cell r="C2841" t="str">
            <v>DON PARABRISAS BOGOTA SAS</v>
          </cell>
        </row>
        <row r="2842">
          <cell r="A2842">
            <v>900735385</v>
          </cell>
          <cell r="C2842" t="str">
            <v>EVD INDUSTRIAL</v>
          </cell>
        </row>
        <row r="2843">
          <cell r="A2843">
            <v>19446264</v>
          </cell>
          <cell r="C2843" t="str">
            <v>EDUARDO RINCON</v>
          </cell>
        </row>
        <row r="2844">
          <cell r="A2844">
            <v>830095579</v>
          </cell>
          <cell r="C2844" t="str">
            <v>INVERSIONES INNOVAR DE COLOMBIA</v>
          </cell>
        </row>
        <row r="2845">
          <cell r="A2845">
            <v>29416637</v>
          </cell>
          <cell r="C2845" t="str">
            <v>ACHEVERRY BLANDON MARIA</v>
          </cell>
        </row>
        <row r="2846">
          <cell r="A2846">
            <v>11413166</v>
          </cell>
          <cell r="C2846" t="str">
            <v xml:space="preserve">LA VARA ASADOS </v>
          </cell>
        </row>
        <row r="2847">
          <cell r="A2847">
            <v>2903965</v>
          </cell>
          <cell r="C2847" t="str">
            <v>JAIME GUTIERREZ</v>
          </cell>
        </row>
        <row r="2848">
          <cell r="A2848">
            <v>900208179</v>
          </cell>
          <cell r="C2848" t="str">
            <v>IMPORTADORA IAI SAS</v>
          </cell>
        </row>
        <row r="2849">
          <cell r="A2849">
            <v>1024462386</v>
          </cell>
          <cell r="C2849" t="str">
            <v xml:space="preserve">RAPID PARKING </v>
          </cell>
        </row>
        <row r="2850">
          <cell r="A2850">
            <v>1054681188</v>
          </cell>
          <cell r="C2850" t="str">
            <v>SURTIDORA DE AVES JS</v>
          </cell>
        </row>
        <row r="2851">
          <cell r="A2851">
            <v>35507109</v>
          </cell>
          <cell r="C2851" t="str">
            <v xml:space="preserve">PARQUEADEROS LAS MONAS </v>
          </cell>
        </row>
        <row r="2852">
          <cell r="A2852">
            <v>37806593</v>
          </cell>
          <cell r="C2852" t="str">
            <v>EDILIA MARTINEZ</v>
          </cell>
        </row>
        <row r="2853">
          <cell r="A2853">
            <v>900478341</v>
          </cell>
          <cell r="C2853" t="str">
            <v xml:space="preserve">CENTRO SE SERVICIS Y SOLUCIONES INDUSTRIALES </v>
          </cell>
        </row>
        <row r="2854">
          <cell r="A2854">
            <v>52278819</v>
          </cell>
          <cell r="C2854" t="str">
            <v>DEPOSITO Y FERRETERIA  JYK</v>
          </cell>
        </row>
        <row r="2855">
          <cell r="A2855">
            <v>860507111</v>
          </cell>
          <cell r="C2855" t="str">
            <v>INTER SERVICIOS ELECTRICOS</v>
          </cell>
        </row>
        <row r="2856">
          <cell r="A2856">
            <v>1070707158</v>
          </cell>
          <cell r="C2856" t="str">
            <v>PANADERIA MARYGOS</v>
          </cell>
        </row>
        <row r="2857">
          <cell r="A2857">
            <v>830115400</v>
          </cell>
          <cell r="C2857" t="str">
            <v>MATER SAFETY SAS</v>
          </cell>
        </row>
        <row r="2858">
          <cell r="A2858">
            <v>830017564</v>
          </cell>
          <cell r="C2858" t="str">
            <v>TRANSPARK</v>
          </cell>
        </row>
        <row r="2859">
          <cell r="A2859">
            <v>900137280</v>
          </cell>
          <cell r="C2859" t="str">
            <v>COMBOY PIZZA</v>
          </cell>
        </row>
        <row r="2860">
          <cell r="A2860">
            <v>900861266</v>
          </cell>
          <cell r="C2860" t="str">
            <v>TOP DRIVE</v>
          </cell>
        </row>
        <row r="2861">
          <cell r="A2861">
            <v>900404772</v>
          </cell>
          <cell r="C2861" t="str">
            <v>ESTACION DE SERVICIOS CARRIZAL</v>
          </cell>
        </row>
        <row r="2862">
          <cell r="A2862">
            <v>37944222</v>
          </cell>
          <cell r="C2862" t="str">
            <v>PARQUEADERO LAS OBLEAS</v>
          </cell>
        </row>
        <row r="2863">
          <cell r="A2863">
            <v>900849104</v>
          </cell>
          <cell r="C2863" t="str">
            <v>SISO</v>
          </cell>
        </row>
        <row r="2864">
          <cell r="A2864">
            <v>800226417</v>
          </cell>
          <cell r="C2864" t="str">
            <v xml:space="preserve">MILTI- IMPRESOS </v>
          </cell>
        </row>
        <row r="2865">
          <cell r="A2865">
            <v>900067885</v>
          </cell>
          <cell r="C2865" t="str">
            <v>GRUPO ELECTRONICO COLOMBIANO</v>
          </cell>
        </row>
        <row r="2866">
          <cell r="A2866">
            <v>900480569</v>
          </cell>
          <cell r="C2866" t="str">
            <v>ARA</v>
          </cell>
        </row>
        <row r="2867">
          <cell r="A2867">
            <v>830039304</v>
          </cell>
          <cell r="C2867" t="str">
            <v>CALVOS ELECTRONICA LTDA</v>
          </cell>
        </row>
        <row r="2868">
          <cell r="A2868">
            <v>860524602</v>
          </cell>
          <cell r="C2868" t="str">
            <v>TERPEL COTA</v>
          </cell>
        </row>
        <row r="2869">
          <cell r="A2869">
            <v>51893196</v>
          </cell>
          <cell r="C2869" t="str">
            <v>CAFETERIA ESPERANZA</v>
          </cell>
        </row>
        <row r="2870">
          <cell r="A2870">
            <v>900468202</v>
          </cell>
          <cell r="C2870" t="str">
            <v>CDA MOVILIDAD BOGOTA</v>
          </cell>
        </row>
        <row r="2871">
          <cell r="A2871">
            <v>1101176252</v>
          </cell>
          <cell r="C2871" t="str">
            <v>LUIS MIGUEL CUBIDES</v>
          </cell>
        </row>
        <row r="2872">
          <cell r="A2872">
            <v>900177263</v>
          </cell>
          <cell r="C2872" t="str">
            <v>INVERSIONES ARPEZ</v>
          </cell>
        </row>
        <row r="2873">
          <cell r="A2873">
            <v>900887666</v>
          </cell>
          <cell r="C2873" t="str">
            <v>MASTER EQUIPOS INDUSTRIALES</v>
          </cell>
        </row>
        <row r="2874">
          <cell r="A2874">
            <v>79529345</v>
          </cell>
          <cell r="C2874" t="str">
            <v>IMPORT BATERIA</v>
          </cell>
        </row>
        <row r="2875">
          <cell r="A2875">
            <v>17153740</v>
          </cell>
          <cell r="C2875" t="str">
            <v>CENTRAL DE LICUADORAS</v>
          </cell>
        </row>
        <row r="2876">
          <cell r="A2876">
            <v>890941567</v>
          </cell>
          <cell r="C2876" t="str">
            <v xml:space="preserve">SOLDADURAS INFUSTRIALES </v>
          </cell>
        </row>
        <row r="2877">
          <cell r="A2877">
            <v>52826770</v>
          </cell>
          <cell r="C2877" t="str">
            <v>PARKING HILDA PATRICIA CABIELES</v>
          </cell>
        </row>
        <row r="2878">
          <cell r="A2878">
            <v>79263760</v>
          </cell>
          <cell r="C2878" t="str">
            <v xml:space="preserve">HECTOR PAPAMIJA </v>
          </cell>
        </row>
        <row r="2879">
          <cell r="A2879">
            <v>13837353</v>
          </cell>
          <cell r="C2879" t="str">
            <v>ALBERTO PORRAS</v>
          </cell>
        </row>
        <row r="2880">
          <cell r="A2880">
            <v>900831522</v>
          </cell>
          <cell r="C2880" t="str">
            <v>PRINTU</v>
          </cell>
        </row>
        <row r="2881">
          <cell r="A2881">
            <v>860351427</v>
          </cell>
          <cell r="C2881" t="str">
            <v>INVERSIONES NECEVI SAS</v>
          </cell>
        </row>
        <row r="2882">
          <cell r="A2882">
            <v>900271401</v>
          </cell>
          <cell r="C2882" t="str">
            <v>COMPULAPTOP</v>
          </cell>
        </row>
        <row r="2883">
          <cell r="A2883">
            <v>41634008</v>
          </cell>
          <cell r="C2883" t="str">
            <v>GLORIA HAIDEE PINZON</v>
          </cell>
        </row>
        <row r="2884">
          <cell r="A2884">
            <v>52819458</v>
          </cell>
          <cell r="C2884" t="str">
            <v>VARIEDADES DANY</v>
          </cell>
        </row>
        <row r="2885">
          <cell r="A2885">
            <v>19490683</v>
          </cell>
          <cell r="C2885" t="str">
            <v>MIGUEL ANTONIO RODRIGUEZ</v>
          </cell>
        </row>
        <row r="2886">
          <cell r="A2886">
            <v>900413282</v>
          </cell>
          <cell r="C2886" t="str">
            <v>ATM STORE</v>
          </cell>
        </row>
        <row r="2887">
          <cell r="A2887">
            <v>53010258</v>
          </cell>
          <cell r="C2887" t="str">
            <v>LEIDY AVILA RAMIREZ</v>
          </cell>
        </row>
        <row r="2888">
          <cell r="A2888">
            <v>79409897</v>
          </cell>
          <cell r="C2888" t="str">
            <v>DEPOSITO Y FERRETERIA SAN LUIS</v>
          </cell>
        </row>
        <row r="2889">
          <cell r="A2889">
            <v>830512582</v>
          </cell>
          <cell r="C2889" t="str">
            <v>CARANGEL SAS</v>
          </cell>
        </row>
        <row r="2890">
          <cell r="A2890">
            <v>51878601</v>
          </cell>
          <cell r="C2890" t="str">
            <v>PARKIN LA 12</v>
          </cell>
        </row>
        <row r="2891">
          <cell r="A2891">
            <v>51704298</v>
          </cell>
          <cell r="C2891" t="str">
            <v xml:space="preserve">VARIEDADES CHELA </v>
          </cell>
        </row>
        <row r="2892">
          <cell r="A2892">
            <v>830139644</v>
          </cell>
          <cell r="C2892" t="str">
            <v>ESTACION DE SERVICIO LOS ANGELES</v>
          </cell>
        </row>
        <row r="2893">
          <cell r="A2893">
            <v>901070659</v>
          </cell>
          <cell r="C2893" t="str">
            <v>ELECTRIC CENTER GROUP SAS</v>
          </cell>
        </row>
        <row r="2894">
          <cell r="A2894">
            <v>900318014</v>
          </cell>
          <cell r="C2894" t="str">
            <v>FERRE CINTAS SAS</v>
          </cell>
        </row>
        <row r="2895">
          <cell r="A2895">
            <v>19212865</v>
          </cell>
          <cell r="C2895" t="str">
            <v>RESTAURANTE BRISEÑO</v>
          </cell>
        </row>
        <row r="2896">
          <cell r="A2896">
            <v>24198201</v>
          </cell>
          <cell r="C2896" t="str">
            <v>FERREPINTURAS BRISEÑO</v>
          </cell>
        </row>
        <row r="2897">
          <cell r="A2897">
            <v>832007822</v>
          </cell>
          <cell r="C2897" t="str">
            <v>TEXACO TOCANCIPA</v>
          </cell>
        </row>
        <row r="2898">
          <cell r="A2898">
            <v>80497915</v>
          </cell>
          <cell r="C2898" t="str">
            <v>JAVIER ALONSO DUEÑAS</v>
          </cell>
        </row>
        <row r="2899">
          <cell r="A2899">
            <v>900484158</v>
          </cell>
          <cell r="C2899" t="str">
            <v xml:space="preserve">LA CONSTRUCCION </v>
          </cell>
        </row>
        <row r="2900">
          <cell r="A2900">
            <v>860074186</v>
          </cell>
          <cell r="C2900" t="str">
            <v>DISICO SA</v>
          </cell>
        </row>
        <row r="2901">
          <cell r="A2901">
            <v>79990372</v>
          </cell>
          <cell r="C2901" t="str">
            <v>SOLUCIONES TECNOLOGICAS Y FERRETERAS</v>
          </cell>
        </row>
        <row r="2902">
          <cell r="A2902">
            <v>900402723</v>
          </cell>
          <cell r="C2902" t="str">
            <v xml:space="preserve">PROMOTORA DE PROYECTOS SOSTENIBLES </v>
          </cell>
        </row>
        <row r="2903">
          <cell r="A2903">
            <v>79785053</v>
          </cell>
          <cell r="C2903" t="str">
            <v>WILLIAM ALFONSO ESPITIA</v>
          </cell>
        </row>
        <row r="2904">
          <cell r="A2904">
            <v>830508167</v>
          </cell>
          <cell r="C2904" t="str">
            <v>COMERCIALIZADORA RUMBOS</v>
          </cell>
        </row>
        <row r="2905">
          <cell r="A2905">
            <v>80295552</v>
          </cell>
          <cell r="C2905" t="str">
            <v>LADRILLERA EL DOADO</v>
          </cell>
        </row>
        <row r="2906">
          <cell r="A2906">
            <v>39686303</v>
          </cell>
          <cell r="C2906" t="str">
            <v>GLADYS POBEDA</v>
          </cell>
        </row>
        <row r="2907">
          <cell r="A2907">
            <v>4132001</v>
          </cell>
          <cell r="C2907" t="str">
            <v>EDGAR PIÑEROS</v>
          </cell>
        </row>
        <row r="2908">
          <cell r="A2908">
            <v>901007412</v>
          </cell>
          <cell r="C2908" t="str">
            <v>MADERA LA PUNTA</v>
          </cell>
        </row>
        <row r="2909">
          <cell r="A2909">
            <v>39547114</v>
          </cell>
          <cell r="C2909" t="str">
            <v>ASE MADERAS BOYACA</v>
          </cell>
        </row>
        <row r="2910">
          <cell r="A2910">
            <v>860531302</v>
          </cell>
          <cell r="C2910" t="str">
            <v>CACHARRERIA Y PAPELERIA  EL G</v>
          </cell>
        </row>
        <row r="2911">
          <cell r="A2911">
            <v>39783688</v>
          </cell>
          <cell r="C2911" t="str">
            <v>TEJAS TECNI PLAS</v>
          </cell>
        </row>
        <row r="2912">
          <cell r="A2912">
            <v>6230340</v>
          </cell>
          <cell r="C2912" t="str">
            <v>PARKING METRO REBECA</v>
          </cell>
        </row>
        <row r="2913">
          <cell r="A2913">
            <v>52820243</v>
          </cell>
          <cell r="C2913" t="str">
            <v>RESTAURANTE BARICHARA</v>
          </cell>
        </row>
        <row r="2914">
          <cell r="A2914">
            <v>900250850</v>
          </cell>
          <cell r="C2914" t="str">
            <v>ZONE SAS</v>
          </cell>
        </row>
        <row r="2915">
          <cell r="A2915">
            <v>52088853</v>
          </cell>
          <cell r="C2915" t="str">
            <v>FERRERETERIA DEL DESVARE</v>
          </cell>
        </row>
        <row r="2916">
          <cell r="A2916">
            <v>27786098</v>
          </cell>
          <cell r="C2916" t="str">
            <v>PARQUEADERO ATLAS</v>
          </cell>
        </row>
        <row r="2917">
          <cell r="A2917">
            <v>800123399</v>
          </cell>
          <cell r="C2917" t="str">
            <v>DISPROALQUIMICOS</v>
          </cell>
        </row>
        <row r="2918">
          <cell r="A2918">
            <v>52477860</v>
          </cell>
          <cell r="C2918" t="str">
            <v>PARQUEADERO LA ESMERALDA</v>
          </cell>
        </row>
        <row r="2919">
          <cell r="A2919">
            <v>900996982</v>
          </cell>
          <cell r="C2919" t="str">
            <v>MUNDIAL DE PLACAS Y GRABADOS SAS</v>
          </cell>
        </row>
        <row r="2920">
          <cell r="A2920">
            <v>1075227079</v>
          </cell>
          <cell r="C2920" t="str">
            <v>STERLING PLAZAS LEIDY JOHANNA</v>
          </cell>
        </row>
        <row r="2921">
          <cell r="A2921">
            <v>860006626</v>
          </cell>
          <cell r="C2921" t="str">
            <v>PARQUEADERO OFTALMOS SA</v>
          </cell>
        </row>
        <row r="2922">
          <cell r="A2922">
            <v>1088537289</v>
          </cell>
          <cell r="C2922" t="str">
            <v>RESTAURANTE LA FLACA</v>
          </cell>
        </row>
        <row r="2923">
          <cell r="A2923">
            <v>30982782</v>
          </cell>
          <cell r="C2923" t="str">
            <v>MARI AFERNANDA MORENO</v>
          </cell>
        </row>
        <row r="2924">
          <cell r="A2924">
            <v>7717183</v>
          </cell>
          <cell r="C2924" t="str">
            <v>OALYA OLAYA DUBERNEY</v>
          </cell>
        </row>
        <row r="2925">
          <cell r="A2925">
            <v>900391017</v>
          </cell>
          <cell r="C2925" t="str">
            <v>HOTEL IGUANAS DE LOS LLANOS</v>
          </cell>
        </row>
        <row r="2926">
          <cell r="A2926">
            <v>80119642</v>
          </cell>
          <cell r="C2926" t="str">
            <v xml:space="preserve">NELSON HERNAN BELTRAN </v>
          </cell>
        </row>
        <row r="2927">
          <cell r="A2927">
            <v>900947355</v>
          </cell>
          <cell r="C2927" t="str">
            <v xml:space="preserve">INDELED  </v>
          </cell>
        </row>
        <row r="2928">
          <cell r="A2928">
            <v>900261594</v>
          </cell>
          <cell r="C2928" t="str">
            <v xml:space="preserve">AUTOMATIZACION INDUSTRIAL </v>
          </cell>
        </row>
        <row r="2929">
          <cell r="A2929">
            <v>901030674</v>
          </cell>
          <cell r="C2929" t="str">
            <v>ELECTRO DALUCES</v>
          </cell>
        </row>
        <row r="2930">
          <cell r="A2930">
            <v>800056762</v>
          </cell>
          <cell r="C2930" t="str">
            <v>BULEVAR NIZA</v>
          </cell>
        </row>
        <row r="2931">
          <cell r="A2931">
            <v>209242</v>
          </cell>
          <cell r="C2931" t="str">
            <v>SAMUEL MONROY</v>
          </cell>
        </row>
        <row r="2932">
          <cell r="A2932">
            <v>900027907</v>
          </cell>
          <cell r="C2932" t="str">
            <v xml:space="preserve">EDS LOS ANGELES </v>
          </cell>
        </row>
        <row r="2933">
          <cell r="A2933">
            <v>93365784</v>
          </cell>
          <cell r="C2933" t="str">
            <v>AMS TECH COMPUTERS</v>
          </cell>
        </row>
        <row r="2934">
          <cell r="A2934">
            <v>900422686</v>
          </cell>
          <cell r="C2934" t="str">
            <v>CENTRAL DE ELECTRICOS</v>
          </cell>
        </row>
        <row r="2935">
          <cell r="A2935">
            <v>900737474</v>
          </cell>
          <cell r="C2935" t="str">
            <v>COMERCIALIZADORA SOFALCA</v>
          </cell>
        </row>
        <row r="2936">
          <cell r="A2936">
            <v>900517834</v>
          </cell>
          <cell r="C2936" t="str">
            <v>DISTRIBUCIONES D-MAX</v>
          </cell>
        </row>
        <row r="2937">
          <cell r="A2937">
            <v>1075875400</v>
          </cell>
          <cell r="C2937" t="str">
            <v>TORNILLOS Y HERRAMIENTAS BRISEÑO</v>
          </cell>
        </row>
        <row r="2938">
          <cell r="A2938">
            <v>7320749</v>
          </cell>
          <cell r="C2938" t="str">
            <v>EXITODO LA PUNTA</v>
          </cell>
        </row>
        <row r="2939">
          <cell r="A2939">
            <v>6353236</v>
          </cell>
          <cell r="C2939" t="str">
            <v>PARQUEADERO DON RAFA</v>
          </cell>
        </row>
        <row r="2940">
          <cell r="A2940">
            <v>80058019</v>
          </cell>
          <cell r="C2940" t="str">
            <v>PARQUEADERO PUBLICO</v>
          </cell>
        </row>
        <row r="2941">
          <cell r="A2941">
            <v>1024512885</v>
          </cell>
          <cell r="C2941" t="str">
            <v>PARQUEADERO DANICO</v>
          </cell>
        </row>
        <row r="2942">
          <cell r="A2942">
            <v>5663364</v>
          </cell>
          <cell r="C2942" t="str">
            <v xml:space="preserve">SUPERMERCADO LA REBAJA </v>
          </cell>
        </row>
        <row r="2943">
          <cell r="A2943">
            <v>81754110</v>
          </cell>
          <cell r="C2943" t="str">
            <v>COMBO Y PIZZA</v>
          </cell>
        </row>
        <row r="2944">
          <cell r="A2944">
            <v>800021827</v>
          </cell>
          <cell r="C2944" t="str">
            <v>AGROSERVICIO PERDOMO Y NOVO LTDA</v>
          </cell>
        </row>
        <row r="2945">
          <cell r="A2945">
            <v>80280167</v>
          </cell>
          <cell r="C2945" t="str">
            <v>PARQUEADERO TRIVIÑO</v>
          </cell>
        </row>
        <row r="2946">
          <cell r="A2946">
            <v>860021341</v>
          </cell>
          <cell r="C2946" t="str">
            <v>EDIFICO SEGUROS BOLIVAR  CHAPINERO</v>
          </cell>
        </row>
        <row r="2947">
          <cell r="A2947">
            <v>79857513</v>
          </cell>
          <cell r="C2947" t="str">
            <v xml:space="preserve">GRUAS FERNANDO CAMARGO </v>
          </cell>
        </row>
        <row r="2948">
          <cell r="A2948">
            <v>830060255</v>
          </cell>
          <cell r="C2948" t="str">
            <v>ELECTRO INDUSTRIALES B&amp;M</v>
          </cell>
        </row>
        <row r="2949">
          <cell r="A2949">
            <v>900912012</v>
          </cell>
          <cell r="C2949" t="str">
            <v xml:space="preserve">TORNILLOS </v>
          </cell>
        </row>
        <row r="2950">
          <cell r="A2950">
            <v>900454607</v>
          </cell>
          <cell r="C2950" t="str">
            <v>ACUAEXPRES</v>
          </cell>
        </row>
        <row r="2951">
          <cell r="A2951">
            <v>17160004</v>
          </cell>
          <cell r="C2951" t="str">
            <v>PARK 72</v>
          </cell>
        </row>
        <row r="2952">
          <cell r="A2952">
            <v>41339488</v>
          </cell>
          <cell r="C2952" t="str">
            <v>BLANCA OFELIA CONDE</v>
          </cell>
        </row>
        <row r="2953">
          <cell r="A2953">
            <v>900498730</v>
          </cell>
          <cell r="C2953" t="str">
            <v>KAIROS ILUMINACION Y ELECTRICOS</v>
          </cell>
        </row>
        <row r="2954">
          <cell r="A2954">
            <v>79636396</v>
          </cell>
          <cell r="C2954" t="str">
            <v xml:space="preserve">PARQUEADERO PUBLICO </v>
          </cell>
        </row>
        <row r="2955">
          <cell r="A2955">
            <v>39699655</v>
          </cell>
          <cell r="C2955" t="str">
            <v>CAFETERIA DOÑA LIGIA</v>
          </cell>
        </row>
        <row r="2956">
          <cell r="A2956">
            <v>1018465782</v>
          </cell>
          <cell r="C2956" t="str">
            <v>JHEN LEONARDO MODESTO</v>
          </cell>
        </row>
        <row r="2957">
          <cell r="A2957">
            <v>79705937</v>
          </cell>
          <cell r="C2957" t="str">
            <v>TALLER EL OASIS</v>
          </cell>
        </row>
        <row r="2958">
          <cell r="A2958">
            <v>830063800</v>
          </cell>
          <cell r="C2958" t="str">
            <v>COVAL COMERCIAL</v>
          </cell>
        </row>
        <row r="2959">
          <cell r="A2959">
            <v>23596381</v>
          </cell>
          <cell r="C2959" t="str">
            <v>PARRILLA RESTAURANTE 2 ONCES</v>
          </cell>
        </row>
        <row r="2960">
          <cell r="A2960">
            <v>830013256</v>
          </cell>
          <cell r="C2960" t="str">
            <v>FERROELECTRO ACC</v>
          </cell>
        </row>
        <row r="2961">
          <cell r="A2961">
            <v>399355</v>
          </cell>
          <cell r="C2961" t="str">
            <v xml:space="preserve">ESTACION DE SERVICIO EL ROSAL </v>
          </cell>
        </row>
        <row r="2962">
          <cell r="A2962">
            <v>1016021805</v>
          </cell>
          <cell r="C2962" t="str">
            <v xml:space="preserve">LEIDY BARON </v>
          </cell>
        </row>
        <row r="2963">
          <cell r="A2963">
            <v>35522559</v>
          </cell>
          <cell r="C2963" t="str">
            <v>AUTOSERVICIO MERCAYA</v>
          </cell>
        </row>
        <row r="2964">
          <cell r="A2964">
            <v>21236172</v>
          </cell>
          <cell r="C2964" t="str">
            <v>GAMA ELECTRONICA</v>
          </cell>
        </row>
        <row r="2965">
          <cell r="A2965">
            <v>900149883</v>
          </cell>
          <cell r="C2965" t="str">
            <v>EMSERTENJO</v>
          </cell>
        </row>
        <row r="2966">
          <cell r="A2966">
            <v>1070921576</v>
          </cell>
          <cell r="C2966" t="str">
            <v>UNAGUI</v>
          </cell>
        </row>
        <row r="2967">
          <cell r="A2967">
            <v>800106774</v>
          </cell>
          <cell r="C2967" t="str">
            <v>MERCADOS ZAPATOCA</v>
          </cell>
        </row>
        <row r="2968">
          <cell r="A2968">
            <v>80377608</v>
          </cell>
          <cell r="C2968" t="str">
            <v>ANGEL PEÑA</v>
          </cell>
        </row>
        <row r="2969">
          <cell r="A2969">
            <v>800021827</v>
          </cell>
          <cell r="C2969" t="str">
            <v xml:space="preserve">AGRASERVICIOS PERDOMO </v>
          </cell>
        </row>
        <row r="2970">
          <cell r="A2970">
            <v>6464062</v>
          </cell>
          <cell r="C2970" t="str">
            <v>PARKMOTO</v>
          </cell>
        </row>
        <row r="2971">
          <cell r="A2971">
            <v>900316616</v>
          </cell>
          <cell r="C2971" t="str">
            <v>ATIELES INDUSTRIAL</v>
          </cell>
        </row>
        <row r="2972">
          <cell r="A2972">
            <v>1032395430</v>
          </cell>
          <cell r="C2972" t="str">
            <v xml:space="preserve">OMAR VILLAMIL </v>
          </cell>
        </row>
        <row r="2973">
          <cell r="A2973">
            <v>900479427</v>
          </cell>
          <cell r="C2973" t="str">
            <v>POTENS SAS</v>
          </cell>
        </row>
        <row r="2974">
          <cell r="A2974">
            <v>830046564</v>
          </cell>
          <cell r="C2974" t="str">
            <v>UNION PANAMERICANA  INVERSIONES L</v>
          </cell>
        </row>
        <row r="2975">
          <cell r="A2975">
            <v>900818788</v>
          </cell>
          <cell r="C2975" t="str">
            <v>PINTURAS MATIZ</v>
          </cell>
        </row>
        <row r="2976">
          <cell r="A2976">
            <v>1019119913</v>
          </cell>
          <cell r="C2976" t="str">
            <v>JONATHAN GUTIERREZ</v>
          </cell>
        </row>
        <row r="2977">
          <cell r="A2977">
            <v>900453537</v>
          </cell>
          <cell r="C2977" t="str">
            <v>OLIMPICA ELECTRONICS</v>
          </cell>
        </row>
        <row r="2978">
          <cell r="A2978">
            <v>830053731</v>
          </cell>
          <cell r="C2978" t="str">
            <v>CARNES FRIAS ITALIA LTDA</v>
          </cell>
        </row>
        <row r="2979">
          <cell r="A2979">
            <v>832001096</v>
          </cell>
          <cell r="C2979" t="str">
            <v>HIERROS DE FUNZA</v>
          </cell>
        </row>
        <row r="2980">
          <cell r="A2980">
            <v>53028267</v>
          </cell>
          <cell r="C2980" t="str">
            <v>FERRIELECTRICOS ELIVARES</v>
          </cell>
        </row>
        <row r="2981">
          <cell r="A2981">
            <v>890331426</v>
          </cell>
          <cell r="C2981" t="str">
            <v>ADIELA DE COLOMBIA</v>
          </cell>
        </row>
        <row r="2982">
          <cell r="A2982">
            <v>900349009</v>
          </cell>
          <cell r="C2982" t="str">
            <v>PHARMA QUIM</v>
          </cell>
        </row>
        <row r="2983">
          <cell r="A2983">
            <v>900906830</v>
          </cell>
          <cell r="C2983" t="str">
            <v>SEQUIA SPEED</v>
          </cell>
        </row>
        <row r="2984">
          <cell r="A2984">
            <v>804004189</v>
          </cell>
          <cell r="C2984" t="str">
            <v xml:space="preserve">INVERSIONES PALERMO Y CIA </v>
          </cell>
        </row>
        <row r="2985">
          <cell r="A2985">
            <v>63461598</v>
          </cell>
          <cell r="C2985" t="str">
            <v>RESTARANTE PARADOR EL 15</v>
          </cell>
        </row>
        <row r="2986">
          <cell r="A2986">
            <v>1014198754</v>
          </cell>
          <cell r="C2986" t="str">
            <v>CRISTIAN PARRA</v>
          </cell>
        </row>
        <row r="2987">
          <cell r="A2987">
            <v>900640355</v>
          </cell>
          <cell r="C2987" t="str">
            <v xml:space="preserve">COMERCIALIZADORA OCTFOR </v>
          </cell>
        </row>
        <row r="2988">
          <cell r="A2988">
            <v>1072745083</v>
          </cell>
          <cell r="C2988" t="str">
            <v xml:space="preserve">HOTEL DESCANSO DE LA VILLA </v>
          </cell>
        </row>
        <row r="2989">
          <cell r="A2989">
            <v>79001636</v>
          </cell>
          <cell r="C2989" t="str">
            <v>PARQUEADERO LA MORENA</v>
          </cell>
        </row>
        <row r="2990">
          <cell r="A2990">
            <v>39768954</v>
          </cell>
          <cell r="C2990" t="str">
            <v>PARQUEADERO TRIVIÑO</v>
          </cell>
        </row>
        <row r="2991">
          <cell r="A2991">
            <v>900521268</v>
          </cell>
          <cell r="C2991" t="str">
            <v xml:space="preserve">LUBRIFILTERS LA ESPERANZA </v>
          </cell>
        </row>
        <row r="2992">
          <cell r="A2992">
            <v>80748704</v>
          </cell>
          <cell r="C2992" t="str">
            <v xml:space="preserve">MAXI CAUCHOS </v>
          </cell>
        </row>
        <row r="2993">
          <cell r="A2993">
            <v>1119887106</v>
          </cell>
          <cell r="C2993" t="str">
            <v xml:space="preserve">FERRIELECTRICOS T&amp;V </v>
          </cell>
        </row>
        <row r="2994">
          <cell r="A2994">
            <v>1010180355</v>
          </cell>
          <cell r="C2994" t="str">
            <v xml:space="preserve">PARQUEADERO MI TOLIMA </v>
          </cell>
        </row>
        <row r="2995">
          <cell r="A2995">
            <v>900765267</v>
          </cell>
          <cell r="C2995" t="str">
            <v>PARKING 38</v>
          </cell>
        </row>
        <row r="2996">
          <cell r="A2996">
            <v>860056971</v>
          </cell>
          <cell r="C2996" t="str">
            <v>LA CAMPANA</v>
          </cell>
        </row>
        <row r="2997">
          <cell r="A2997">
            <v>41479174</v>
          </cell>
          <cell r="C2997" t="str">
            <v xml:space="preserve">REYES DE GARCIA GLADYS </v>
          </cell>
        </row>
        <row r="2998">
          <cell r="A2998">
            <v>19417178</v>
          </cell>
          <cell r="C2998" t="str">
            <v>PARQUEADERO INTERNACIONAL</v>
          </cell>
        </row>
        <row r="2999">
          <cell r="A2999">
            <v>1074184321</v>
          </cell>
          <cell r="C2999" t="str">
            <v>AUTOLAVADO Y PARQUEADERO SANTA JIMENA</v>
          </cell>
        </row>
        <row r="3000">
          <cell r="A3000">
            <v>900695463</v>
          </cell>
          <cell r="C3000" t="str">
            <v>SILLETI COLOMBIA SAS</v>
          </cell>
        </row>
        <row r="3001">
          <cell r="A3001">
            <v>80538271</v>
          </cell>
          <cell r="C3001" t="str">
            <v>MIGUEL LAVERDE</v>
          </cell>
        </row>
        <row r="3002">
          <cell r="A3002">
            <v>1010188613</v>
          </cell>
          <cell r="C3002" t="str">
            <v xml:space="preserve">GIRALDO JORGE ESTABAN </v>
          </cell>
        </row>
        <row r="3003">
          <cell r="A3003">
            <v>800185083</v>
          </cell>
          <cell r="C3003" t="str">
            <v>ALQUIM  CARACAS</v>
          </cell>
        </row>
        <row r="3004">
          <cell r="A3004">
            <v>1099553161</v>
          </cell>
          <cell r="C3004" t="str">
            <v>JOSE VIDAL OLARTE</v>
          </cell>
        </row>
        <row r="3005">
          <cell r="A3005">
            <v>41558410</v>
          </cell>
          <cell r="C3005" t="str">
            <v>PARQUEADERO 7 DE AGOSTO</v>
          </cell>
        </row>
        <row r="3006">
          <cell r="A3006">
            <v>800172508</v>
          </cell>
          <cell r="C3006" t="str">
            <v>PRESS APLIQUES SAS</v>
          </cell>
        </row>
        <row r="3007">
          <cell r="A3007">
            <v>13791534</v>
          </cell>
          <cell r="C3007" t="str">
            <v xml:space="preserve">AUTOLAVADO LAS BRISAS </v>
          </cell>
        </row>
        <row r="3008">
          <cell r="A3008">
            <v>79325759</v>
          </cell>
          <cell r="C3008" t="str">
            <v>WILLIAM MIRANDA</v>
          </cell>
        </row>
        <row r="3009">
          <cell r="A3009">
            <v>900727749</v>
          </cell>
          <cell r="C3009" t="str">
            <v>CONSORCIO ZPPV</v>
          </cell>
        </row>
        <row r="3010">
          <cell r="A3010">
            <v>800101328</v>
          </cell>
          <cell r="C3010" t="str">
            <v>CONJUNTO RESIDENCIAL BOLIVIA</v>
          </cell>
        </row>
        <row r="3011">
          <cell r="A3011">
            <v>860035776</v>
          </cell>
          <cell r="C3011" t="str">
            <v>EDIFICIO CENTRO COMERCIAL LOS HEROES</v>
          </cell>
        </row>
        <row r="3012">
          <cell r="A3012">
            <v>805011074</v>
          </cell>
          <cell r="C3012" t="str">
            <v>ADIDAS COLOMBIA LTDA</v>
          </cell>
        </row>
        <row r="3013">
          <cell r="A3013">
            <v>900203470</v>
          </cell>
          <cell r="C3013" t="str">
            <v xml:space="preserve">MANUFACTURAS SOFWALK LTDA </v>
          </cell>
        </row>
        <row r="3014">
          <cell r="A3014">
            <v>860526588</v>
          </cell>
          <cell r="C3014" t="str">
            <v xml:space="preserve">FERRETERIA TORPARTES </v>
          </cell>
        </row>
        <row r="3015">
          <cell r="A3015">
            <v>51749500</v>
          </cell>
          <cell r="C3015" t="str">
            <v>NANCY MAYORGA PRIETO</v>
          </cell>
        </row>
        <row r="3016">
          <cell r="A3016">
            <v>80808686</v>
          </cell>
          <cell r="C3016" t="str">
            <v>RONALD SOTELO</v>
          </cell>
        </row>
        <row r="3017">
          <cell r="A3017">
            <v>71741168</v>
          </cell>
          <cell r="C3017" t="str">
            <v>OTO PARKING</v>
          </cell>
        </row>
        <row r="3018">
          <cell r="A3018">
            <v>17420774</v>
          </cell>
          <cell r="C3018" t="str">
            <v>JUAN GIRON</v>
          </cell>
        </row>
        <row r="3019">
          <cell r="A3019">
            <v>70813624</v>
          </cell>
          <cell r="C3019" t="str">
            <v xml:space="preserve">RESTAURANTE SAN CHORIZO </v>
          </cell>
        </row>
        <row r="3020">
          <cell r="A3020">
            <v>41658410</v>
          </cell>
          <cell r="C3020" t="str">
            <v>PARQUEADERO SIETE DE AGOSTO</v>
          </cell>
        </row>
        <row r="3021">
          <cell r="A3021">
            <v>900006623</v>
          </cell>
          <cell r="C3021" t="str">
            <v>FERRETERIA PUNTALAMBRE</v>
          </cell>
        </row>
        <row r="3022">
          <cell r="A3022">
            <v>860001056</v>
          </cell>
          <cell r="C3022" t="str">
            <v xml:space="preserve">ALMACEN SANITARIO SAS </v>
          </cell>
        </row>
        <row r="3023">
          <cell r="A3023">
            <v>900985940</v>
          </cell>
          <cell r="C3023" t="str">
            <v>OSI FUNZA COMERCIALIZADORA DE GASES</v>
          </cell>
        </row>
        <row r="3024">
          <cell r="A3024">
            <v>830008413</v>
          </cell>
          <cell r="C3024" t="str">
            <v>KAMALEON</v>
          </cell>
        </row>
        <row r="3025">
          <cell r="A3025">
            <v>79306918</v>
          </cell>
          <cell r="C3025" t="str">
            <v>PARQUEADERO CALL 26</v>
          </cell>
        </row>
        <row r="3026">
          <cell r="A3026">
            <v>900031259</v>
          </cell>
          <cell r="C3026" t="str">
            <v xml:space="preserve">GRUPO LOMA </v>
          </cell>
        </row>
        <row r="3027">
          <cell r="A3027">
            <v>79503860</v>
          </cell>
          <cell r="C3027" t="str">
            <v>PINTURAS Y MEZCLAS</v>
          </cell>
        </row>
        <row r="3028">
          <cell r="A3028">
            <v>39523994</v>
          </cell>
          <cell r="C3028" t="str">
            <v>TITO PABON</v>
          </cell>
        </row>
        <row r="3029">
          <cell r="A3029">
            <v>72276523</v>
          </cell>
          <cell r="C3029" t="str">
            <v>ANGEL SANDOVAL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3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4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3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44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4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47.xml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5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51.xml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56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55.xml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ctrlProp" Target="../ctrlProps/ctrlProp64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63.xml"/><Relationship Id="rId5" Type="http://schemas.openxmlformats.org/officeDocument/2006/relationships/ctrlProp" Target="../ctrlProps/ctrlProp62.xml"/><Relationship Id="rId4" Type="http://schemas.openxmlformats.org/officeDocument/2006/relationships/ctrlProp" Target="../ctrlProps/ctrlProp6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7" Type="http://schemas.openxmlformats.org/officeDocument/2006/relationships/ctrlProp" Target="../ctrlProps/ctrlProp68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67.xml"/><Relationship Id="rId5" Type="http://schemas.openxmlformats.org/officeDocument/2006/relationships/ctrlProp" Target="../ctrlProps/ctrlProp66.xml"/><Relationship Id="rId4" Type="http://schemas.openxmlformats.org/officeDocument/2006/relationships/ctrlProp" Target="../ctrlProps/ctrlProp6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ctrlProp" Target="../ctrlProps/ctrlProp72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71.xml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ctrlProp" Target="../ctrlProps/ctrlProp76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75.xml"/><Relationship Id="rId5" Type="http://schemas.openxmlformats.org/officeDocument/2006/relationships/ctrlProp" Target="../ctrlProps/ctrlProp74.xml"/><Relationship Id="rId4" Type="http://schemas.openxmlformats.org/officeDocument/2006/relationships/ctrlProp" Target="../ctrlProps/ctrlProp7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ctrlProp" Target="../ctrlProps/ctrlProp8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79.xml"/><Relationship Id="rId5" Type="http://schemas.openxmlformats.org/officeDocument/2006/relationships/ctrlProp" Target="../ctrlProps/ctrlProp78.xml"/><Relationship Id="rId4" Type="http://schemas.openxmlformats.org/officeDocument/2006/relationships/ctrlProp" Target="../ctrlProps/ctrlProp7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ctrlProp" Target="../ctrlProps/ctrlProp84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83.xml"/><Relationship Id="rId5" Type="http://schemas.openxmlformats.org/officeDocument/2006/relationships/ctrlProp" Target="../ctrlProps/ctrlProp82.xml"/><Relationship Id="rId4" Type="http://schemas.openxmlformats.org/officeDocument/2006/relationships/ctrlProp" Target="../ctrlProps/ctrlProp8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7" Type="http://schemas.openxmlformats.org/officeDocument/2006/relationships/ctrlProp" Target="../ctrlProps/ctrlProp88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87.xml"/><Relationship Id="rId5" Type="http://schemas.openxmlformats.org/officeDocument/2006/relationships/ctrlProp" Target="../ctrlProps/ctrlProp86.xml"/><Relationship Id="rId4" Type="http://schemas.openxmlformats.org/officeDocument/2006/relationships/ctrlProp" Target="../ctrlProps/ctrlProp8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7" Type="http://schemas.openxmlformats.org/officeDocument/2006/relationships/ctrlProp" Target="../ctrlProps/ctrlProp92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91.xml"/><Relationship Id="rId5" Type="http://schemas.openxmlformats.org/officeDocument/2006/relationships/ctrlProp" Target="../ctrlProps/ctrlProp90.xml"/><Relationship Id="rId4" Type="http://schemas.openxmlformats.org/officeDocument/2006/relationships/ctrlProp" Target="../ctrlProps/ctrlProp8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7" Type="http://schemas.openxmlformats.org/officeDocument/2006/relationships/ctrlProp" Target="../ctrlProps/ctrlProp96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6" Type="http://schemas.openxmlformats.org/officeDocument/2006/relationships/ctrlProp" Target="../ctrlProps/ctrlProp95.xml"/><Relationship Id="rId5" Type="http://schemas.openxmlformats.org/officeDocument/2006/relationships/ctrlProp" Target="../ctrlProps/ctrlProp94.xml"/><Relationship Id="rId4" Type="http://schemas.openxmlformats.org/officeDocument/2006/relationships/ctrlProp" Target="../ctrlProps/ctrlProp93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1.xml"/><Relationship Id="rId3" Type="http://schemas.openxmlformats.org/officeDocument/2006/relationships/vmlDrawing" Target="../drawings/vmlDrawing25.vml"/><Relationship Id="rId7" Type="http://schemas.openxmlformats.org/officeDocument/2006/relationships/ctrlProp" Target="../ctrlProps/ctrlProp100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99.xml"/><Relationship Id="rId5" Type="http://schemas.openxmlformats.org/officeDocument/2006/relationships/ctrlProp" Target="../ctrlProps/ctrlProp98.xml"/><Relationship Id="rId4" Type="http://schemas.openxmlformats.org/officeDocument/2006/relationships/ctrlProp" Target="../ctrlProps/ctrlProp97.xml"/><Relationship Id="rId9" Type="http://schemas.openxmlformats.org/officeDocument/2006/relationships/ctrlProp" Target="../ctrlProps/ctrlProp10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31"/>
  <sheetViews>
    <sheetView showGridLines="0" topLeftCell="A34" workbookViewId="0">
      <selection sqref="A1:XFD1048576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43411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54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54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43364</v>
      </c>
      <c r="D10" s="17">
        <v>830054076</v>
      </c>
      <c r="E10" s="18" t="str">
        <f>VLOOKUP(D10,[1]TERCEROS!$A$2:$C$4000,3,FALSE)</f>
        <v>FIDEICOMISOS SOCIEDAD FIDUCIARIA</v>
      </c>
      <c r="F10" s="19" t="s">
        <v>33</v>
      </c>
      <c r="G10" s="20">
        <v>9700</v>
      </c>
      <c r="H10" s="177">
        <v>0</v>
      </c>
      <c r="I10" s="230">
        <f>IF($K$14=1,G10+H10,G10*H10)</f>
        <v>9700</v>
      </c>
    </row>
    <row r="11" spans="1:12" s="1" customFormat="1" ht="15" thickBot="1" x14ac:dyDescent="0.4">
      <c r="A11" s="82">
        <v>2</v>
      </c>
      <c r="B11" s="326" t="s">
        <v>396</v>
      </c>
      <c r="C11" s="108">
        <v>43408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178">
        <v>0</v>
      </c>
      <c r="I11" s="231">
        <f>IF($K$14=1,G11+H11,G11*H11)</f>
        <v>9700</v>
      </c>
    </row>
    <row r="12" spans="1:12" s="1" customFormat="1" ht="15" thickBot="1" x14ac:dyDescent="0.4">
      <c r="A12" s="82">
        <v>3</v>
      </c>
      <c r="B12" s="326"/>
      <c r="C12" s="108">
        <v>43405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178">
        <v>0</v>
      </c>
      <c r="I12" s="231">
        <f t="shared" ref="I12:I85" si="0">IF($K$14=1,G12+H12,G12*H12)</f>
        <v>9700</v>
      </c>
    </row>
    <row r="13" spans="1:12" s="1" customFormat="1" ht="15" thickBot="1" x14ac:dyDescent="0.4">
      <c r="A13" s="82">
        <v>4</v>
      </c>
      <c r="B13" s="326"/>
      <c r="C13" s="108">
        <v>43403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178">
        <v>0</v>
      </c>
      <c r="I13" s="231">
        <f t="shared" si="0"/>
        <v>9700</v>
      </c>
    </row>
    <row r="14" spans="1:12" s="1" customFormat="1" ht="15" thickBot="1" x14ac:dyDescent="0.4">
      <c r="A14" s="82">
        <v>5</v>
      </c>
      <c r="B14" s="326"/>
      <c r="C14" s="108">
        <v>43399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178">
        <v>0</v>
      </c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26"/>
      <c r="C15" s="108">
        <v>43397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178">
        <v>0</v>
      </c>
      <c r="I15" s="231">
        <f t="shared" si="0"/>
        <v>9700</v>
      </c>
    </row>
    <row r="16" spans="1:12" s="1" customFormat="1" ht="15" thickBot="1" x14ac:dyDescent="0.4">
      <c r="A16" s="82">
        <v>7</v>
      </c>
      <c r="B16" s="326"/>
      <c r="C16" s="108">
        <v>43405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178">
        <v>0</v>
      </c>
      <c r="I16" s="231">
        <f t="shared" si="0"/>
        <v>9700</v>
      </c>
    </row>
    <row r="17" spans="1:9" s="1" customFormat="1" ht="15" thickBot="1" x14ac:dyDescent="0.4">
      <c r="A17" s="82">
        <v>8</v>
      </c>
      <c r="B17" s="326"/>
      <c r="C17" s="108">
        <v>43399</v>
      </c>
      <c r="D17" s="26">
        <v>830054076</v>
      </c>
      <c r="E17" s="27" t="str">
        <f>VLOOKUP(D17,[1]TERCEROS!$A$2:$C$4000,3,FALSE)</f>
        <v>FIDEICOMISOS SOCIEDAD FIDUCIARIA</v>
      </c>
      <c r="F17" s="28" t="s">
        <v>33</v>
      </c>
      <c r="G17" s="29">
        <v>9700</v>
      </c>
      <c r="H17" s="178">
        <v>0</v>
      </c>
      <c r="I17" s="231">
        <f t="shared" si="0"/>
        <v>9700</v>
      </c>
    </row>
    <row r="18" spans="1:9" s="1" customFormat="1" ht="15" thickBot="1" x14ac:dyDescent="0.4">
      <c r="A18" s="82">
        <v>9</v>
      </c>
      <c r="B18" s="326"/>
      <c r="C18" s="108">
        <v>43403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178">
        <v>0</v>
      </c>
      <c r="I18" s="231">
        <f t="shared" si="0"/>
        <v>9700</v>
      </c>
    </row>
    <row r="19" spans="1:9" s="1" customFormat="1" ht="15" thickBot="1" x14ac:dyDescent="0.4">
      <c r="A19" s="82">
        <v>10</v>
      </c>
      <c r="B19" s="326"/>
      <c r="C19" s="108">
        <v>43406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178">
        <v>0</v>
      </c>
      <c r="I19" s="231">
        <f t="shared" si="0"/>
        <v>9700</v>
      </c>
    </row>
    <row r="20" spans="1:9" s="1" customFormat="1" ht="15" thickBot="1" x14ac:dyDescent="0.4">
      <c r="A20" s="82">
        <v>11</v>
      </c>
      <c r="B20" s="326"/>
      <c r="C20" s="108">
        <v>43405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178">
        <v>0</v>
      </c>
      <c r="I20" s="231">
        <f t="shared" si="0"/>
        <v>9700</v>
      </c>
    </row>
    <row r="21" spans="1:9" s="1" customFormat="1" ht="15" thickBot="1" x14ac:dyDescent="0.4">
      <c r="A21" s="82">
        <v>12</v>
      </c>
      <c r="B21" s="326"/>
      <c r="C21" s="108">
        <v>43405</v>
      </c>
      <c r="D21" s="26">
        <v>830054076</v>
      </c>
      <c r="E21" s="27" t="str">
        <f>VLOOKUP(D21,[1]TERCEROS!$A$2:$C$4000,3,FALSE)</f>
        <v>FIDEICOMISOS SOCIEDAD FIDUCIARIA</v>
      </c>
      <c r="F21" s="28" t="s">
        <v>33</v>
      </c>
      <c r="G21" s="29">
        <v>9700</v>
      </c>
      <c r="H21" s="178">
        <v>0</v>
      </c>
      <c r="I21" s="231">
        <f t="shared" si="0"/>
        <v>9700</v>
      </c>
    </row>
    <row r="22" spans="1:9" s="1" customFormat="1" ht="15" thickBot="1" x14ac:dyDescent="0.4">
      <c r="A22" s="82">
        <v>13</v>
      </c>
      <c r="B22" s="326"/>
      <c r="C22" s="108">
        <v>43404</v>
      </c>
      <c r="D22" s="26">
        <v>830054076</v>
      </c>
      <c r="E22" s="27" t="str">
        <f>VLOOKUP(D22,[1]TERCEROS!$A$2:$C$4000,3,FALSE)</f>
        <v>FIDEICOMISOS SOCIEDAD FIDUCIARIA</v>
      </c>
      <c r="F22" s="28" t="s">
        <v>33</v>
      </c>
      <c r="G22" s="29">
        <v>9700</v>
      </c>
      <c r="H22" s="178">
        <v>0</v>
      </c>
      <c r="I22" s="231">
        <f t="shared" si="0"/>
        <v>9700</v>
      </c>
    </row>
    <row r="23" spans="1:9" s="1" customFormat="1" ht="15" thickBot="1" x14ac:dyDescent="0.4">
      <c r="A23" s="82">
        <v>14</v>
      </c>
      <c r="B23" s="326"/>
      <c r="C23" s="108">
        <v>43404</v>
      </c>
      <c r="D23" s="26">
        <v>830054076</v>
      </c>
      <c r="E23" s="27" t="str">
        <f>VLOOKUP(D23,[1]TERCEROS!$A$2:$C$4000,3,FALSE)</f>
        <v>FIDEICOMISOS SOCIEDAD FIDUCIARIA</v>
      </c>
      <c r="F23" s="28" t="s">
        <v>33</v>
      </c>
      <c r="G23" s="29">
        <v>9700</v>
      </c>
      <c r="H23" s="178">
        <v>0</v>
      </c>
      <c r="I23" s="231">
        <f t="shared" si="0"/>
        <v>9700</v>
      </c>
    </row>
    <row r="24" spans="1:9" s="1" customFormat="1" ht="15" thickBot="1" x14ac:dyDescent="0.4">
      <c r="A24" s="82">
        <v>15</v>
      </c>
      <c r="B24" s="326"/>
      <c r="C24" s="108">
        <v>43403</v>
      </c>
      <c r="D24" s="26">
        <v>830054076</v>
      </c>
      <c r="E24" s="27" t="str">
        <f>VLOOKUP(D24,[1]TERCEROS!$A$2:$C$4000,3,FALSE)</f>
        <v>FIDEICOMISOS SOCIEDAD FIDUCIARIA</v>
      </c>
      <c r="F24" s="28" t="s">
        <v>33</v>
      </c>
      <c r="G24" s="29">
        <v>9700</v>
      </c>
      <c r="H24" s="178">
        <v>0</v>
      </c>
      <c r="I24" s="231">
        <f t="shared" si="0"/>
        <v>9700</v>
      </c>
    </row>
    <row r="25" spans="1:9" s="1" customFormat="1" ht="15" thickBot="1" x14ac:dyDescent="0.4">
      <c r="A25" s="82">
        <v>16</v>
      </c>
      <c r="B25" s="326"/>
      <c r="C25" s="108">
        <v>43402</v>
      </c>
      <c r="D25" s="26">
        <v>830054076</v>
      </c>
      <c r="E25" s="27" t="str">
        <f>VLOOKUP(D25,[1]TERCEROS!$A$2:$C$4000,3,FALSE)</f>
        <v>FIDEICOMISOS SOCIEDAD FIDUCIARIA</v>
      </c>
      <c r="F25" s="28" t="s">
        <v>33</v>
      </c>
      <c r="G25" s="29">
        <v>9700</v>
      </c>
      <c r="H25" s="178">
        <v>0</v>
      </c>
      <c r="I25" s="231">
        <f t="shared" si="0"/>
        <v>9700</v>
      </c>
    </row>
    <row r="26" spans="1:9" s="1" customFormat="1" ht="15" thickBot="1" x14ac:dyDescent="0.4">
      <c r="A26" s="82">
        <v>17</v>
      </c>
      <c r="B26" s="326"/>
      <c r="C26" s="108">
        <v>43403</v>
      </c>
      <c r="D26" s="26">
        <v>830054076</v>
      </c>
      <c r="E26" s="27" t="str">
        <f>VLOOKUP(D26,[1]TERCEROS!$A$2:$C$4000,3,FALSE)</f>
        <v>FIDEICOMISOS SOCIEDAD FIDUCIARIA</v>
      </c>
      <c r="F26" s="28" t="s">
        <v>33</v>
      </c>
      <c r="G26" s="29">
        <v>9700</v>
      </c>
      <c r="H26" s="178">
        <v>0</v>
      </c>
      <c r="I26" s="231">
        <f t="shared" si="0"/>
        <v>9700</v>
      </c>
    </row>
    <row r="27" spans="1:9" s="1" customFormat="1" ht="15" thickBot="1" x14ac:dyDescent="0.4">
      <c r="A27" s="82">
        <v>18</v>
      </c>
      <c r="B27" s="326"/>
      <c r="C27" s="108">
        <v>43402</v>
      </c>
      <c r="D27" s="26">
        <v>830120433</v>
      </c>
      <c r="E27" s="27" t="str">
        <f>VLOOKUP(D27,[1]TERCEROS!$A$2:$C$4000,3,FALSE)</f>
        <v>VASQUEZ MORA ASOCIADOS LTDA</v>
      </c>
      <c r="F27" s="28" t="s">
        <v>272</v>
      </c>
      <c r="G27" s="29">
        <v>7300</v>
      </c>
      <c r="H27" s="178">
        <v>0</v>
      </c>
      <c r="I27" s="231">
        <f t="shared" si="0"/>
        <v>7300</v>
      </c>
    </row>
    <row r="28" spans="1:9" s="1" customFormat="1" ht="15" thickBot="1" x14ac:dyDescent="0.4">
      <c r="A28" s="82">
        <v>19</v>
      </c>
      <c r="B28" s="326"/>
      <c r="C28" s="108">
        <v>43402</v>
      </c>
      <c r="D28" s="26">
        <v>900380028</v>
      </c>
      <c r="E28" s="27" t="str">
        <f>VLOOKUP(D28,[1]TERCEROS!$A$2:$C$4000,3,FALSE)</f>
        <v>INMOBILIARIA CENTRO SAN MARTIN</v>
      </c>
      <c r="F28" s="28" t="s">
        <v>287</v>
      </c>
      <c r="G28" s="29">
        <v>5029</v>
      </c>
      <c r="H28" s="178">
        <f>+G28*19%</f>
        <v>955.51</v>
      </c>
      <c r="I28" s="231">
        <f t="shared" si="0"/>
        <v>5984.51</v>
      </c>
    </row>
    <row r="29" spans="1:9" s="1" customFormat="1" ht="15" thickBot="1" x14ac:dyDescent="0.4">
      <c r="A29" s="82">
        <v>20</v>
      </c>
      <c r="B29" s="326"/>
      <c r="C29" s="108">
        <v>43402</v>
      </c>
      <c r="D29" s="26">
        <v>830054076</v>
      </c>
      <c r="E29" s="27" t="str">
        <f>VLOOKUP(D29,[1]TERCEROS!$A$2:$C$4000,3,FALSE)</f>
        <v>FIDEICOMISOS SOCIEDAD FIDUCIARIA</v>
      </c>
      <c r="F29" s="28" t="s">
        <v>33</v>
      </c>
      <c r="G29" s="29">
        <v>9700</v>
      </c>
      <c r="H29" s="178">
        <v>0</v>
      </c>
      <c r="I29" s="231">
        <f t="shared" si="0"/>
        <v>9700</v>
      </c>
    </row>
    <row r="30" spans="1:9" s="1" customFormat="1" ht="15" thickBot="1" x14ac:dyDescent="0.4">
      <c r="A30" s="82">
        <v>21</v>
      </c>
      <c r="B30" s="326"/>
      <c r="C30" s="108">
        <v>43402</v>
      </c>
      <c r="D30" s="26">
        <v>860534221</v>
      </c>
      <c r="E30" s="27" t="str">
        <f>VLOOKUP(D30,[1]TERCEROS!$A$2:$C$4000,3,FALSE)</f>
        <v>PAN PA YA LTDA</v>
      </c>
      <c r="F30" s="28" t="s">
        <v>440</v>
      </c>
      <c r="G30" s="29">
        <v>14500</v>
      </c>
      <c r="H30" s="178">
        <v>0</v>
      </c>
      <c r="I30" s="231">
        <f t="shared" si="0"/>
        <v>14500</v>
      </c>
    </row>
    <row r="31" spans="1:9" s="1" customFormat="1" ht="15" thickBot="1" x14ac:dyDescent="0.4">
      <c r="A31" s="82">
        <v>22</v>
      </c>
      <c r="B31" s="326"/>
      <c r="C31" s="108">
        <v>43400</v>
      </c>
      <c r="D31" s="26">
        <v>830054076</v>
      </c>
      <c r="E31" s="27" t="str">
        <f>VLOOKUP(D31,[1]TERCEROS!$A$2:$C$4000,3,FALSE)</f>
        <v>FIDEICOMISOS SOCIEDAD FIDUCIARIA</v>
      </c>
      <c r="F31" s="28" t="s">
        <v>33</v>
      </c>
      <c r="G31" s="29">
        <v>9700</v>
      </c>
      <c r="H31" s="178">
        <v>0</v>
      </c>
      <c r="I31" s="231">
        <f t="shared" si="0"/>
        <v>9700</v>
      </c>
    </row>
    <row r="32" spans="1:9" s="1" customFormat="1" ht="15" thickBot="1" x14ac:dyDescent="0.4">
      <c r="A32" s="82">
        <v>23</v>
      </c>
      <c r="B32" s="326"/>
      <c r="C32" s="108">
        <v>43400</v>
      </c>
      <c r="D32" s="26">
        <v>830054076</v>
      </c>
      <c r="E32" s="27" t="str">
        <f>VLOOKUP(D32,[1]TERCEROS!$A$2:$C$4000,3,FALSE)</f>
        <v>FIDEICOMISOS SOCIEDAD FIDUCIARIA</v>
      </c>
      <c r="F32" s="28" t="s">
        <v>33</v>
      </c>
      <c r="G32" s="29">
        <v>11700</v>
      </c>
      <c r="H32" s="178">
        <v>0</v>
      </c>
      <c r="I32" s="231">
        <f t="shared" si="0"/>
        <v>11700</v>
      </c>
    </row>
    <row r="33" spans="1:9" s="1" customFormat="1" ht="15" thickBot="1" x14ac:dyDescent="0.4">
      <c r="A33" s="82">
        <v>24</v>
      </c>
      <c r="B33" s="326"/>
      <c r="C33" s="108">
        <v>43400</v>
      </c>
      <c r="D33" s="26">
        <v>830054076</v>
      </c>
      <c r="E33" s="27" t="str">
        <f>VLOOKUP(D33,[1]TERCEROS!$A$2:$C$4000,3,FALSE)</f>
        <v>FIDEICOMISOS SOCIEDAD FIDUCIARIA</v>
      </c>
      <c r="F33" s="28" t="s">
        <v>33</v>
      </c>
      <c r="G33" s="29">
        <v>7800</v>
      </c>
      <c r="H33" s="178">
        <v>0</v>
      </c>
      <c r="I33" s="231">
        <f t="shared" si="0"/>
        <v>7800</v>
      </c>
    </row>
    <row r="34" spans="1:9" s="1" customFormat="1" ht="15" thickBot="1" x14ac:dyDescent="0.4">
      <c r="A34" s="82">
        <v>25</v>
      </c>
      <c r="B34" s="326"/>
      <c r="C34" s="108">
        <v>43397</v>
      </c>
      <c r="D34" s="26">
        <v>830054076</v>
      </c>
      <c r="E34" s="27" t="str">
        <f>VLOOKUP(D34,[1]TERCEROS!$A$2:$C$4000,3,FALSE)</f>
        <v>FIDEICOMISOS SOCIEDAD FIDUCIARIA</v>
      </c>
      <c r="F34" s="28" t="s">
        <v>33</v>
      </c>
      <c r="G34" s="29">
        <v>9700</v>
      </c>
      <c r="H34" s="178">
        <v>0</v>
      </c>
      <c r="I34" s="231">
        <f t="shared" si="0"/>
        <v>9700</v>
      </c>
    </row>
    <row r="35" spans="1:9" s="1" customFormat="1" ht="15" thickBot="1" x14ac:dyDescent="0.4">
      <c r="A35" s="82">
        <v>26</v>
      </c>
      <c r="B35" s="326"/>
      <c r="C35" s="108">
        <v>43395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9700</v>
      </c>
      <c r="H35" s="178">
        <v>0</v>
      </c>
      <c r="I35" s="231">
        <f t="shared" si="0"/>
        <v>9700</v>
      </c>
    </row>
    <row r="36" spans="1:9" s="1" customFormat="1" ht="15" thickBot="1" x14ac:dyDescent="0.4">
      <c r="A36" s="82">
        <v>27</v>
      </c>
      <c r="B36" s="326"/>
      <c r="C36" s="108">
        <v>43393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178">
        <v>0</v>
      </c>
      <c r="I36" s="231">
        <f t="shared" si="0"/>
        <v>9700</v>
      </c>
    </row>
    <row r="37" spans="1:9" s="1" customFormat="1" ht="15" thickBot="1" x14ac:dyDescent="0.4">
      <c r="A37" s="82">
        <v>28</v>
      </c>
      <c r="B37" s="326"/>
      <c r="C37" s="108">
        <v>43391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9700</v>
      </c>
      <c r="H37" s="178">
        <v>0</v>
      </c>
      <c r="I37" s="231">
        <f t="shared" si="0"/>
        <v>9700</v>
      </c>
    </row>
    <row r="38" spans="1:9" s="1" customFormat="1" ht="15" thickBot="1" x14ac:dyDescent="0.4">
      <c r="A38" s="82">
        <v>29</v>
      </c>
      <c r="B38" s="326"/>
      <c r="C38" s="108">
        <v>43389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9700</v>
      </c>
      <c r="H38" s="178">
        <v>0</v>
      </c>
      <c r="I38" s="231">
        <f t="shared" si="0"/>
        <v>9700</v>
      </c>
    </row>
    <row r="39" spans="1:9" s="1" customFormat="1" ht="15" thickBot="1" x14ac:dyDescent="0.4">
      <c r="A39" s="82">
        <v>30</v>
      </c>
      <c r="B39" s="326"/>
      <c r="C39" s="108">
        <v>43388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9700</v>
      </c>
      <c r="H39" s="178">
        <v>0</v>
      </c>
      <c r="I39" s="231">
        <f t="shared" si="0"/>
        <v>9700</v>
      </c>
    </row>
    <row r="40" spans="1:9" s="1" customFormat="1" ht="15" thickBot="1" x14ac:dyDescent="0.4">
      <c r="A40" s="82">
        <v>31</v>
      </c>
      <c r="B40" s="326"/>
      <c r="C40" s="108">
        <v>43388</v>
      </c>
      <c r="D40" s="26">
        <v>830054076</v>
      </c>
      <c r="E40" s="27" t="str">
        <f>VLOOKUP(D40,[1]TERCEROS!$A$2:$C$4000,3,FALSE)</f>
        <v>FIDEICOMISOS SOCIEDAD FIDUCIARIA</v>
      </c>
      <c r="F40" s="28" t="s">
        <v>33</v>
      </c>
      <c r="G40" s="29">
        <v>9700</v>
      </c>
      <c r="H40" s="178">
        <v>0</v>
      </c>
      <c r="I40" s="231">
        <f t="shared" si="0"/>
        <v>9700</v>
      </c>
    </row>
    <row r="41" spans="1:9" s="1" customFormat="1" ht="15" thickBot="1" x14ac:dyDescent="0.4">
      <c r="A41" s="82">
        <v>32</v>
      </c>
      <c r="B41" s="326"/>
      <c r="C41" s="108">
        <v>43384</v>
      </c>
      <c r="D41" s="26">
        <v>830054076</v>
      </c>
      <c r="E41" s="27" t="str">
        <f>VLOOKUP(D41,[1]TERCEROS!$A$2:$C$4000,3,FALSE)</f>
        <v>FIDEICOMISOS SOCIEDAD FIDUCIARIA</v>
      </c>
      <c r="F41" s="28" t="s">
        <v>33</v>
      </c>
      <c r="G41" s="29">
        <v>9700</v>
      </c>
      <c r="H41" s="178">
        <v>0</v>
      </c>
      <c r="I41" s="231">
        <f t="shared" si="0"/>
        <v>9700</v>
      </c>
    </row>
    <row r="42" spans="1:9" s="1" customFormat="1" ht="15" thickBot="1" x14ac:dyDescent="0.4">
      <c r="A42" s="82">
        <v>33</v>
      </c>
      <c r="B42" s="326"/>
      <c r="C42" s="108">
        <v>43383</v>
      </c>
      <c r="D42" s="26">
        <v>830054076</v>
      </c>
      <c r="E42" s="27" t="str">
        <f>VLOOKUP(D42,[1]TERCEROS!$A$2:$C$4000,3,FALSE)</f>
        <v>FIDEICOMISOS SOCIEDAD FIDUCIARIA</v>
      </c>
      <c r="F42" s="28" t="s">
        <v>33</v>
      </c>
      <c r="G42" s="29">
        <v>9700</v>
      </c>
      <c r="H42" s="178">
        <v>0</v>
      </c>
      <c r="I42" s="231">
        <f t="shared" si="0"/>
        <v>9700</v>
      </c>
    </row>
    <row r="43" spans="1:9" s="1" customFormat="1" ht="15" thickBot="1" x14ac:dyDescent="0.4">
      <c r="A43" s="82">
        <v>34</v>
      </c>
      <c r="B43" s="326"/>
      <c r="C43" s="108">
        <v>43382</v>
      </c>
      <c r="D43" s="26">
        <v>830054076</v>
      </c>
      <c r="E43" s="27" t="str">
        <f>VLOOKUP(D43,[1]TERCEROS!$A$2:$C$4000,3,FALSE)</f>
        <v>FIDEICOMISOS SOCIEDAD FIDUCIARIA</v>
      </c>
      <c r="F43" s="28" t="s">
        <v>33</v>
      </c>
      <c r="G43" s="29">
        <v>9700</v>
      </c>
      <c r="H43" s="178">
        <v>0</v>
      </c>
      <c r="I43" s="231">
        <f t="shared" si="0"/>
        <v>9700</v>
      </c>
    </row>
    <row r="44" spans="1:9" s="1" customFormat="1" ht="15" thickBot="1" x14ac:dyDescent="0.4">
      <c r="A44" s="82">
        <v>35</v>
      </c>
      <c r="B44" s="326"/>
      <c r="C44" s="108">
        <v>43382</v>
      </c>
      <c r="D44" s="26">
        <v>830054076</v>
      </c>
      <c r="E44" s="27" t="str">
        <f>VLOOKUP(D44,[1]TERCEROS!$A$2:$C$4000,3,FALSE)</f>
        <v>FIDEICOMISOS SOCIEDAD FIDUCIARIA</v>
      </c>
      <c r="F44" s="28" t="s">
        <v>33</v>
      </c>
      <c r="G44" s="29">
        <v>9700</v>
      </c>
      <c r="H44" s="178">
        <v>0</v>
      </c>
      <c r="I44" s="231">
        <f t="shared" si="0"/>
        <v>9700</v>
      </c>
    </row>
    <row r="45" spans="1:9" s="1" customFormat="1" ht="15" thickBot="1" x14ac:dyDescent="0.4">
      <c r="A45" s="82">
        <v>36</v>
      </c>
      <c r="B45" s="326"/>
      <c r="C45" s="108">
        <v>43377</v>
      </c>
      <c r="D45" s="26">
        <v>830054076</v>
      </c>
      <c r="E45" s="27" t="str">
        <f>VLOOKUP(D45,[1]TERCEROS!$A$2:$C$4000,3,FALSE)</f>
        <v>FIDEICOMISOS SOCIEDAD FIDUCIARIA</v>
      </c>
      <c r="F45" s="28" t="s">
        <v>33</v>
      </c>
      <c r="G45" s="29">
        <v>9700</v>
      </c>
      <c r="H45" s="178">
        <v>0</v>
      </c>
      <c r="I45" s="231">
        <f t="shared" si="0"/>
        <v>9700</v>
      </c>
    </row>
    <row r="46" spans="1:9" s="1" customFormat="1" ht="15" thickBot="1" x14ac:dyDescent="0.4">
      <c r="A46" s="82">
        <v>37</v>
      </c>
      <c r="B46" s="326"/>
      <c r="C46" s="108">
        <v>43374</v>
      </c>
      <c r="D46" s="26">
        <v>830054076</v>
      </c>
      <c r="E46" s="27" t="str">
        <f>VLOOKUP(D46,[1]TERCEROS!$A$2:$C$4000,3,FALSE)</f>
        <v>FIDEICOMISOS SOCIEDAD FIDUCIARIA</v>
      </c>
      <c r="F46" s="28" t="s">
        <v>33</v>
      </c>
      <c r="G46" s="29">
        <v>9700</v>
      </c>
      <c r="H46" s="178">
        <v>0</v>
      </c>
      <c r="I46" s="231">
        <f t="shared" si="0"/>
        <v>9700</v>
      </c>
    </row>
    <row r="47" spans="1:9" s="1" customFormat="1" ht="15" thickBot="1" x14ac:dyDescent="0.4">
      <c r="A47" s="82">
        <v>38</v>
      </c>
      <c r="B47" s="326"/>
      <c r="C47" s="108">
        <v>43373</v>
      </c>
      <c r="D47" s="26">
        <v>830054076</v>
      </c>
      <c r="E47" s="27" t="str">
        <f>VLOOKUP(D47,[1]TERCEROS!$A$2:$C$4000,3,FALSE)</f>
        <v>FIDEICOMISOS SOCIEDAD FIDUCIARIA</v>
      </c>
      <c r="F47" s="28" t="s">
        <v>33</v>
      </c>
      <c r="G47" s="29">
        <v>9700</v>
      </c>
      <c r="H47" s="178">
        <v>0</v>
      </c>
      <c r="I47" s="231">
        <f t="shared" si="0"/>
        <v>9700</v>
      </c>
    </row>
    <row r="48" spans="1:9" s="1" customFormat="1" ht="15" thickBot="1" x14ac:dyDescent="0.4">
      <c r="A48" s="82">
        <v>39</v>
      </c>
      <c r="B48" s="326"/>
      <c r="C48" s="108">
        <v>43400</v>
      </c>
      <c r="D48" s="26">
        <v>830054076</v>
      </c>
      <c r="E48" s="27" t="str">
        <f>VLOOKUP(D48,[1]TERCEROS!$A$2:$C$4000,3,FALSE)</f>
        <v>FIDEICOMISOS SOCIEDAD FIDUCIARIA</v>
      </c>
      <c r="F48" s="28" t="s">
        <v>33</v>
      </c>
      <c r="G48" s="29">
        <v>9700</v>
      </c>
      <c r="H48" s="178">
        <v>0</v>
      </c>
      <c r="I48" s="231">
        <f t="shared" si="0"/>
        <v>9700</v>
      </c>
    </row>
    <row r="49" spans="1:12" s="1" customFormat="1" ht="15" thickBot="1" x14ac:dyDescent="0.4">
      <c r="A49" s="82">
        <v>40</v>
      </c>
      <c r="B49" s="326"/>
      <c r="C49" s="108">
        <v>43325</v>
      </c>
      <c r="D49" s="26">
        <v>830054076</v>
      </c>
      <c r="E49" s="27" t="str">
        <f>VLOOKUP(D49,[1]TERCEROS!$A$2:$C$4000,3,FALSE)</f>
        <v>FIDEICOMISOS SOCIEDAD FIDUCIARIA</v>
      </c>
      <c r="F49" s="28" t="s">
        <v>33</v>
      </c>
      <c r="G49" s="29">
        <v>9700</v>
      </c>
      <c r="H49" s="178">
        <v>0</v>
      </c>
      <c r="I49" s="231">
        <f t="shared" si="0"/>
        <v>9700</v>
      </c>
    </row>
    <row r="50" spans="1:12" s="1" customFormat="1" ht="15" thickBot="1" x14ac:dyDescent="0.4">
      <c r="A50" s="82">
        <v>41</v>
      </c>
      <c r="B50" s="326"/>
      <c r="C50" s="108">
        <v>43400</v>
      </c>
      <c r="D50" s="26">
        <v>830054076</v>
      </c>
      <c r="E50" s="27" t="str">
        <f>VLOOKUP(D50,[1]TERCEROS!$A$2:$C$4000,3,FALSE)</f>
        <v>FIDEICOMISOS SOCIEDAD FIDUCIARIA</v>
      </c>
      <c r="F50" s="28" t="s">
        <v>33</v>
      </c>
      <c r="G50" s="29">
        <v>9700</v>
      </c>
      <c r="H50" s="178">
        <v>0</v>
      </c>
      <c r="I50" s="231">
        <f t="shared" si="0"/>
        <v>9700</v>
      </c>
    </row>
    <row r="51" spans="1:12" s="1" customFormat="1" ht="15" thickBot="1" x14ac:dyDescent="0.4">
      <c r="A51" s="82">
        <v>42</v>
      </c>
      <c r="B51" s="326"/>
      <c r="C51" s="108">
        <v>43399</v>
      </c>
      <c r="D51" s="26">
        <v>830054076</v>
      </c>
      <c r="E51" s="27" t="str">
        <f>VLOOKUP(D51,[1]TERCEROS!$A$2:$C$4000,3,FALSE)</f>
        <v>FIDEICOMISOS SOCIEDAD FIDUCIARIA</v>
      </c>
      <c r="F51" s="28" t="s">
        <v>33</v>
      </c>
      <c r="G51" s="29">
        <v>9700</v>
      </c>
      <c r="H51" s="178">
        <v>0</v>
      </c>
      <c r="I51" s="231">
        <f t="shared" si="0"/>
        <v>9700</v>
      </c>
    </row>
    <row r="52" spans="1:12" s="1" customFormat="1" ht="15" thickBot="1" x14ac:dyDescent="0.4">
      <c r="A52" s="82">
        <v>43</v>
      </c>
      <c r="B52" s="326"/>
      <c r="C52" s="108">
        <v>43398</v>
      </c>
      <c r="D52" s="26">
        <v>830054076</v>
      </c>
      <c r="E52" s="27" t="str">
        <f>VLOOKUP(D52,[1]TERCEROS!$A$2:$C$4000,3,FALSE)</f>
        <v>FIDEICOMISOS SOCIEDAD FIDUCIARIA</v>
      </c>
      <c r="F52" s="28" t="s">
        <v>33</v>
      </c>
      <c r="G52" s="29">
        <v>9700</v>
      </c>
      <c r="H52" s="178">
        <v>0</v>
      </c>
      <c r="I52" s="231">
        <f t="shared" si="0"/>
        <v>9700</v>
      </c>
    </row>
    <row r="53" spans="1:12" s="1" customFormat="1" ht="15" thickBot="1" x14ac:dyDescent="0.4">
      <c r="A53" s="82">
        <v>44</v>
      </c>
      <c r="B53" s="326"/>
      <c r="C53" s="108">
        <v>43397</v>
      </c>
      <c r="D53" s="26">
        <v>830054076</v>
      </c>
      <c r="E53" s="27" t="str">
        <f>VLOOKUP(D53,[1]TERCEROS!$A$2:$C$4000,3,FALSE)</f>
        <v>FIDEICOMISOS SOCIEDAD FIDUCIARIA</v>
      </c>
      <c r="F53" s="28" t="s">
        <v>33</v>
      </c>
      <c r="G53" s="29">
        <v>9700</v>
      </c>
      <c r="H53" s="178">
        <v>0</v>
      </c>
      <c r="I53" s="231">
        <f t="shared" si="0"/>
        <v>9700</v>
      </c>
    </row>
    <row r="54" spans="1:12" s="1" customFormat="1" ht="15" thickBot="1" x14ac:dyDescent="0.4">
      <c r="A54" s="82">
        <v>45</v>
      </c>
      <c r="B54" s="326"/>
      <c r="C54" s="108">
        <v>43398</v>
      </c>
      <c r="D54" s="26">
        <v>830054076</v>
      </c>
      <c r="E54" s="27" t="str">
        <f>VLOOKUP(D54,[1]TERCEROS!$A$2:$C$4000,3,FALSE)</f>
        <v>FIDEICOMISOS SOCIEDAD FIDUCIARIA</v>
      </c>
      <c r="F54" s="28" t="s">
        <v>33</v>
      </c>
      <c r="G54" s="29">
        <v>9700</v>
      </c>
      <c r="H54" s="178">
        <v>0</v>
      </c>
      <c r="I54" s="231">
        <f t="shared" si="0"/>
        <v>9700</v>
      </c>
    </row>
    <row r="55" spans="1:12" s="1" customFormat="1" ht="15" thickBot="1" x14ac:dyDescent="0.4">
      <c r="A55" s="82">
        <v>46</v>
      </c>
      <c r="B55" s="326"/>
      <c r="C55" s="108">
        <v>43397</v>
      </c>
      <c r="D55" s="26">
        <v>830054076</v>
      </c>
      <c r="E55" s="27" t="str">
        <f>VLOOKUP(D55,[1]TERCEROS!$A$2:$C$4000,3,FALSE)</f>
        <v>FIDEICOMISOS SOCIEDAD FIDUCIARIA</v>
      </c>
      <c r="F55" s="28" t="s">
        <v>33</v>
      </c>
      <c r="G55" s="29">
        <v>9700</v>
      </c>
      <c r="H55" s="178">
        <v>0</v>
      </c>
      <c r="I55" s="231">
        <f t="shared" si="0"/>
        <v>9700</v>
      </c>
    </row>
    <row r="56" spans="1:12" s="1" customFormat="1" ht="15" thickBot="1" x14ac:dyDescent="0.4">
      <c r="A56" s="82">
        <v>47</v>
      </c>
      <c r="B56" s="326"/>
      <c r="C56" s="108">
        <v>43396</v>
      </c>
      <c r="D56" s="26">
        <v>830054076</v>
      </c>
      <c r="E56" s="27" t="str">
        <f>VLOOKUP(D56,[1]TERCEROS!$A$2:$C$4000,3,FALSE)</f>
        <v>FIDEICOMISOS SOCIEDAD FIDUCIARIA</v>
      </c>
      <c r="F56" s="28" t="s">
        <v>33</v>
      </c>
      <c r="G56" s="29">
        <v>9700</v>
      </c>
      <c r="H56" s="178">
        <v>0</v>
      </c>
      <c r="I56" s="231">
        <f t="shared" si="0"/>
        <v>9700</v>
      </c>
    </row>
    <row r="57" spans="1:12" s="1" customFormat="1" ht="15" thickBot="1" x14ac:dyDescent="0.4">
      <c r="A57" s="82">
        <v>48</v>
      </c>
      <c r="B57" s="326"/>
      <c r="C57" s="108">
        <v>43396</v>
      </c>
      <c r="D57" s="26">
        <v>830054076</v>
      </c>
      <c r="E57" s="27" t="str">
        <f>VLOOKUP(D57,[1]TERCEROS!$A$2:$C$4000,3,FALSE)</f>
        <v>FIDEICOMISOS SOCIEDAD FIDUCIARIA</v>
      </c>
      <c r="F57" s="28" t="s">
        <v>33</v>
      </c>
      <c r="G57" s="29">
        <v>9700</v>
      </c>
      <c r="H57" s="178">
        <v>0</v>
      </c>
      <c r="I57" s="231">
        <f t="shared" si="0"/>
        <v>9700</v>
      </c>
    </row>
    <row r="58" spans="1:12" s="1" customFormat="1" ht="15" thickBot="1" x14ac:dyDescent="0.4">
      <c r="A58" s="82">
        <v>49</v>
      </c>
      <c r="B58" s="326"/>
      <c r="C58" s="108">
        <v>43399</v>
      </c>
      <c r="D58" s="26">
        <v>830054076</v>
      </c>
      <c r="E58" s="27" t="str">
        <f>VLOOKUP(D58,[1]TERCEROS!$A$2:$C$4000,3,FALSE)</f>
        <v>FIDEICOMISOS SOCIEDAD FIDUCIARIA</v>
      </c>
      <c r="F58" s="28" t="s">
        <v>33</v>
      </c>
      <c r="G58" s="29">
        <v>9700</v>
      </c>
      <c r="H58" s="178">
        <v>0</v>
      </c>
      <c r="I58" s="231">
        <f t="shared" si="0"/>
        <v>9700</v>
      </c>
    </row>
    <row r="59" spans="1:12" s="1" customFormat="1" ht="15" thickBot="1" x14ac:dyDescent="0.4">
      <c r="A59" s="82">
        <v>50</v>
      </c>
      <c r="B59" s="326"/>
      <c r="C59" s="108">
        <v>43400</v>
      </c>
      <c r="D59" s="26">
        <v>830054076</v>
      </c>
      <c r="E59" s="27" t="str">
        <f>VLOOKUP(D59,[1]TERCEROS!$A$2:$C$4000,3,FALSE)</f>
        <v>FIDEICOMISOS SOCIEDAD FIDUCIARIA</v>
      </c>
      <c r="F59" s="28" t="s">
        <v>33</v>
      </c>
      <c r="G59" s="29">
        <v>9700</v>
      </c>
      <c r="H59" s="178">
        <v>0</v>
      </c>
      <c r="I59" s="231">
        <f t="shared" si="0"/>
        <v>9700</v>
      </c>
    </row>
    <row r="60" spans="1:12" s="1" customFormat="1" ht="15" thickBot="1" x14ac:dyDescent="0.4">
      <c r="A60" s="82">
        <v>51</v>
      </c>
      <c r="B60" s="326"/>
      <c r="C60" s="108">
        <v>43400</v>
      </c>
      <c r="D60" s="26">
        <v>830054076</v>
      </c>
      <c r="E60" s="27" t="str">
        <f>VLOOKUP(D60,[1]TERCEROS!$A$2:$C$4000,3,FALSE)</f>
        <v>FIDEICOMISOS SOCIEDAD FIDUCIARIA</v>
      </c>
      <c r="F60" s="28" t="s">
        <v>33</v>
      </c>
      <c r="G60" s="29">
        <v>9700</v>
      </c>
      <c r="H60" s="178">
        <v>0</v>
      </c>
      <c r="I60" s="231">
        <f t="shared" si="0"/>
        <v>9700</v>
      </c>
    </row>
    <row r="61" spans="1:12" s="1" customFormat="1" ht="15" thickBot="1" x14ac:dyDescent="0.4">
      <c r="A61" s="82">
        <v>52</v>
      </c>
      <c r="B61" s="326"/>
      <c r="C61" s="108">
        <v>43399</v>
      </c>
      <c r="D61" s="26">
        <v>830054076</v>
      </c>
      <c r="E61" s="27" t="str">
        <f>VLOOKUP(D61,[1]TERCEROS!$A$2:$C$4000,3,FALSE)</f>
        <v>FIDEICOMISOS SOCIEDAD FIDUCIARIA</v>
      </c>
      <c r="F61" s="28" t="s">
        <v>33</v>
      </c>
      <c r="G61" s="29">
        <v>9700</v>
      </c>
      <c r="H61" s="178">
        <v>0</v>
      </c>
      <c r="I61" s="231">
        <f t="shared" si="0"/>
        <v>9700</v>
      </c>
      <c r="L61" s="210">
        <f>+G61*19%</f>
        <v>1843</v>
      </c>
    </row>
    <row r="62" spans="1:12" s="1" customFormat="1" ht="15" thickBot="1" x14ac:dyDescent="0.4">
      <c r="A62" s="82">
        <v>53</v>
      </c>
      <c r="B62" s="326"/>
      <c r="C62" s="108">
        <v>43400</v>
      </c>
      <c r="D62" s="26">
        <v>830054076</v>
      </c>
      <c r="E62" s="27" t="str">
        <f>VLOOKUP(D62,[1]TERCEROS!$A$2:$C$4000,3,FALSE)</f>
        <v>FIDEICOMISOS SOCIEDAD FIDUCIARIA</v>
      </c>
      <c r="F62" s="28" t="s">
        <v>33</v>
      </c>
      <c r="G62" s="29">
        <v>9700</v>
      </c>
      <c r="H62" s="178">
        <v>0</v>
      </c>
      <c r="I62" s="231">
        <f t="shared" si="0"/>
        <v>9700</v>
      </c>
    </row>
    <row r="63" spans="1:12" s="1" customFormat="1" ht="15" thickBot="1" x14ac:dyDescent="0.4">
      <c r="A63" s="82">
        <v>54</v>
      </c>
      <c r="B63" s="326"/>
      <c r="C63" s="108">
        <v>43401</v>
      </c>
      <c r="D63" s="26">
        <v>222222222</v>
      </c>
      <c r="E63" s="27" t="str">
        <f>VLOOKUP(D63,[1]TERCEROS!$A$2:$C$4000,3,FALSE)</f>
        <v>CUANTIAS MINIMAS</v>
      </c>
      <c r="F63" s="28" t="s">
        <v>419</v>
      </c>
      <c r="G63" s="29">
        <v>37200</v>
      </c>
      <c r="H63" s="178">
        <v>0</v>
      </c>
      <c r="I63" s="231">
        <f t="shared" si="0"/>
        <v>37200</v>
      </c>
    </row>
    <row r="64" spans="1:12" s="1" customFormat="1" ht="15" thickBot="1" x14ac:dyDescent="0.4">
      <c r="A64" s="82">
        <v>55</v>
      </c>
      <c r="B64" s="326"/>
      <c r="C64" s="108">
        <v>43399</v>
      </c>
      <c r="D64" s="26">
        <v>1067860210</v>
      </c>
      <c r="E64" s="27" t="str">
        <f>VLOOKUP(D64,[1]TERCEROS!$A$2:$C$4000,3,FALSE)</f>
        <v>CARLOS ALBERTO AREVALO YEPES</v>
      </c>
      <c r="F64" s="28" t="s">
        <v>48</v>
      </c>
      <c r="G64" s="29">
        <v>20000</v>
      </c>
      <c r="H64" s="178">
        <v>0</v>
      </c>
      <c r="I64" s="231">
        <f t="shared" si="0"/>
        <v>20000</v>
      </c>
    </row>
    <row r="65" spans="1:9" s="1" customFormat="1" ht="15" thickBot="1" x14ac:dyDescent="0.4">
      <c r="A65" s="82">
        <v>56</v>
      </c>
      <c r="B65" s="326"/>
      <c r="C65" s="108">
        <v>43396</v>
      </c>
      <c r="D65" s="26">
        <v>1067860210</v>
      </c>
      <c r="E65" s="27" t="str">
        <f>VLOOKUP(D65,[1]TERCEROS!$A$2:$C$4000,3,FALSE)</f>
        <v>CARLOS ALBERTO AREVALO YEPES</v>
      </c>
      <c r="F65" s="28" t="s">
        <v>48</v>
      </c>
      <c r="G65" s="29">
        <v>20000</v>
      </c>
      <c r="H65" s="178">
        <v>0</v>
      </c>
      <c r="I65" s="231">
        <f t="shared" si="0"/>
        <v>20000</v>
      </c>
    </row>
    <row r="66" spans="1:9" s="1" customFormat="1" ht="15" thickBot="1" x14ac:dyDescent="0.4">
      <c r="A66" s="82">
        <v>57</v>
      </c>
      <c r="B66" s="326"/>
      <c r="C66" s="108">
        <v>43406</v>
      </c>
      <c r="D66" s="26">
        <v>72151045</v>
      </c>
      <c r="E66" s="27" t="str">
        <f>VLOOKUP(D66,[1]TERCEROS!$A$2:$C$4000,3,FALSE)</f>
        <v>EDINSON ROMERO</v>
      </c>
      <c r="F66" s="28" t="s">
        <v>48</v>
      </c>
      <c r="G66" s="29">
        <v>12000</v>
      </c>
      <c r="H66" s="178">
        <v>0</v>
      </c>
      <c r="I66" s="231">
        <f t="shared" si="0"/>
        <v>12000</v>
      </c>
    </row>
    <row r="67" spans="1:9" s="1" customFormat="1" ht="15" thickBot="1" x14ac:dyDescent="0.4">
      <c r="A67" s="82">
        <v>58</v>
      </c>
      <c r="B67" s="326"/>
      <c r="C67" s="108">
        <v>43400</v>
      </c>
      <c r="D67" s="26">
        <v>11202446</v>
      </c>
      <c r="E67" s="27" t="str">
        <f>VLOOKUP(D67,[1]TERCEROS!$A$2:$C$4000,3,FALSE)</f>
        <v>CARLOS EMILIANO MARTINEZ CRISTANCHO</v>
      </c>
      <c r="F67" s="28" t="s">
        <v>48</v>
      </c>
      <c r="G67" s="29">
        <v>30000</v>
      </c>
      <c r="H67" s="178">
        <v>0</v>
      </c>
      <c r="I67" s="231">
        <f t="shared" si="0"/>
        <v>30000</v>
      </c>
    </row>
    <row r="68" spans="1:9" s="1" customFormat="1" ht="15" thickBot="1" x14ac:dyDescent="0.4">
      <c r="A68" s="82">
        <v>59</v>
      </c>
      <c r="B68" s="326"/>
      <c r="C68" s="108">
        <v>43404</v>
      </c>
      <c r="D68" s="26">
        <v>11202446</v>
      </c>
      <c r="E68" s="27" t="str">
        <f>VLOOKUP(D68,[1]TERCEROS!$A$2:$C$4000,3,FALSE)</f>
        <v>CARLOS EMILIANO MARTINEZ CRISTANCHO</v>
      </c>
      <c r="F68" s="28" t="s">
        <v>48</v>
      </c>
      <c r="G68" s="29">
        <v>100000</v>
      </c>
      <c r="H68" s="178">
        <v>0</v>
      </c>
      <c r="I68" s="231">
        <f t="shared" si="0"/>
        <v>100000</v>
      </c>
    </row>
    <row r="69" spans="1:9" s="1" customFormat="1" ht="15" thickBot="1" x14ac:dyDescent="0.4">
      <c r="A69" s="82">
        <v>60</v>
      </c>
      <c r="B69" s="326"/>
      <c r="C69" s="108">
        <v>43396</v>
      </c>
      <c r="D69" s="26">
        <v>11442335</v>
      </c>
      <c r="E69" s="27" t="s">
        <v>420</v>
      </c>
      <c r="F69" s="28" t="s">
        <v>68</v>
      </c>
      <c r="G69" s="29">
        <v>35000</v>
      </c>
      <c r="H69" s="178">
        <v>0</v>
      </c>
      <c r="I69" s="231">
        <f t="shared" si="0"/>
        <v>35000</v>
      </c>
    </row>
    <row r="70" spans="1:9" s="1" customFormat="1" ht="15" thickBot="1" x14ac:dyDescent="0.4">
      <c r="A70" s="82">
        <v>61</v>
      </c>
      <c r="B70" s="326"/>
      <c r="C70" s="108">
        <v>43406</v>
      </c>
      <c r="D70" s="26">
        <v>53039738</v>
      </c>
      <c r="E70" s="27" t="str">
        <f>VLOOKUP(D70,[1]TERCEROS!$A$2:$C$4000,3,FALSE)</f>
        <v>GINNA PAOLA SUAREZ CASTELLANOS</v>
      </c>
      <c r="F70" s="28" t="s">
        <v>48</v>
      </c>
      <c r="G70" s="29">
        <v>17000</v>
      </c>
      <c r="H70" s="178">
        <v>0</v>
      </c>
      <c r="I70" s="231">
        <f t="shared" si="0"/>
        <v>17000</v>
      </c>
    </row>
    <row r="71" spans="1:9" s="1" customFormat="1" ht="15" thickBot="1" x14ac:dyDescent="0.4">
      <c r="A71" s="82">
        <v>62</v>
      </c>
      <c r="B71" s="326"/>
      <c r="C71" s="108">
        <v>43405</v>
      </c>
      <c r="D71" s="26">
        <v>890900608</v>
      </c>
      <c r="E71" s="27" t="str">
        <f>VLOOKUP(D71,[1]TERCEROS!$A$2:$C$4000,3,FALSE)</f>
        <v>ALMACENES EXITO SA</v>
      </c>
      <c r="F71" s="28" t="s">
        <v>421</v>
      </c>
      <c r="G71" s="29">
        <v>100000</v>
      </c>
      <c r="H71" s="178">
        <v>0</v>
      </c>
      <c r="I71" s="231">
        <f t="shared" si="0"/>
        <v>100000</v>
      </c>
    </row>
    <row r="72" spans="1:9" s="1" customFormat="1" ht="15" thickBot="1" x14ac:dyDescent="0.4">
      <c r="A72" s="82">
        <v>63</v>
      </c>
      <c r="B72" s="326"/>
      <c r="C72" s="108">
        <v>43405</v>
      </c>
      <c r="D72" s="26">
        <v>890900608</v>
      </c>
      <c r="E72" s="27" t="str">
        <f>VLOOKUP(D72,[1]TERCEROS!$A$2:$C$4000,3,FALSE)</f>
        <v>ALMACENES EXITO SA</v>
      </c>
      <c r="F72" s="28" t="s">
        <v>421</v>
      </c>
      <c r="G72" s="29">
        <v>100000</v>
      </c>
      <c r="H72" s="178">
        <v>0</v>
      </c>
      <c r="I72" s="231">
        <f t="shared" si="0"/>
        <v>100000</v>
      </c>
    </row>
    <row r="73" spans="1:9" s="1" customFormat="1" ht="15" thickBot="1" x14ac:dyDescent="0.4">
      <c r="A73" s="82">
        <v>64</v>
      </c>
      <c r="B73" s="326"/>
      <c r="C73" s="108">
        <v>43405</v>
      </c>
      <c r="D73" s="26">
        <v>800091165</v>
      </c>
      <c r="E73" s="27" t="s">
        <v>69</v>
      </c>
      <c r="F73" s="28" t="s">
        <v>287</v>
      </c>
      <c r="G73" s="29">
        <v>6000</v>
      </c>
      <c r="H73" s="178">
        <v>0</v>
      </c>
      <c r="I73" s="231">
        <f t="shared" si="0"/>
        <v>6000</v>
      </c>
    </row>
    <row r="74" spans="1:9" s="1" customFormat="1" ht="15" thickBot="1" x14ac:dyDescent="0.4">
      <c r="A74" s="82">
        <v>65</v>
      </c>
      <c r="B74" s="326"/>
      <c r="C74" s="108">
        <v>43405</v>
      </c>
      <c r="D74" s="26">
        <v>830054076</v>
      </c>
      <c r="E74" s="27" t="str">
        <f>VLOOKUP(D74,[1]TERCEROS!$A$2:$C$4000,3,FALSE)</f>
        <v>FIDEICOMISOS SOCIEDAD FIDUCIARIA</v>
      </c>
      <c r="F74" s="28" t="s">
        <v>33</v>
      </c>
      <c r="G74" s="29">
        <v>9700</v>
      </c>
      <c r="H74" s="178">
        <v>0</v>
      </c>
      <c r="I74" s="231">
        <f t="shared" si="0"/>
        <v>9700</v>
      </c>
    </row>
    <row r="75" spans="1:9" s="1" customFormat="1" ht="15" thickBot="1" x14ac:dyDescent="0.4">
      <c r="A75" s="82">
        <v>66</v>
      </c>
      <c r="B75" s="326"/>
      <c r="C75" s="108">
        <v>43406</v>
      </c>
      <c r="D75" s="26">
        <v>830054076</v>
      </c>
      <c r="E75" s="27" t="str">
        <f>VLOOKUP(D75,[1]TERCEROS!$A$2:$C$4000,3,FALSE)</f>
        <v>FIDEICOMISOS SOCIEDAD FIDUCIARIA</v>
      </c>
      <c r="F75" s="28" t="s">
        <v>33</v>
      </c>
      <c r="G75" s="29">
        <v>9700</v>
      </c>
      <c r="H75" s="178">
        <v>0</v>
      </c>
      <c r="I75" s="231">
        <f t="shared" si="0"/>
        <v>9700</v>
      </c>
    </row>
    <row r="76" spans="1:9" s="1" customFormat="1" ht="15" thickBot="1" x14ac:dyDescent="0.4">
      <c r="A76" s="82">
        <v>67</v>
      </c>
      <c r="B76" s="326"/>
      <c r="C76" s="108">
        <v>43405</v>
      </c>
      <c r="D76" s="26">
        <v>900335241</v>
      </c>
      <c r="E76" s="27" t="str">
        <f>VLOOKUP(D76,[1]TERCEROS!$A$2:$C$4000,3,FALSE)</f>
        <v>MIS CARNES PARRILLA S.A.S</v>
      </c>
      <c r="F76" s="28" t="s">
        <v>230</v>
      </c>
      <c r="G76" s="29">
        <v>16700</v>
      </c>
      <c r="H76" s="178">
        <v>0</v>
      </c>
      <c r="I76" s="231">
        <f t="shared" si="0"/>
        <v>16700</v>
      </c>
    </row>
    <row r="77" spans="1:9" s="1" customFormat="1" ht="15" thickBot="1" x14ac:dyDescent="0.4">
      <c r="A77" s="82">
        <v>68</v>
      </c>
      <c r="B77" s="326"/>
      <c r="C77" s="108">
        <v>43402</v>
      </c>
      <c r="D77" s="26">
        <v>222222222</v>
      </c>
      <c r="E77" s="27" t="str">
        <f>VLOOKUP(D77,[1]TERCEROS!$A$2:$C$4000,3,FALSE)</f>
        <v>CUANTIAS MINIMAS</v>
      </c>
      <c r="F77" s="28" t="s">
        <v>230</v>
      </c>
      <c r="G77" s="29">
        <v>8000</v>
      </c>
      <c r="H77" s="178">
        <v>0</v>
      </c>
      <c r="I77" s="231">
        <f t="shared" si="0"/>
        <v>8000</v>
      </c>
    </row>
    <row r="78" spans="1:9" s="1" customFormat="1" ht="15" thickBot="1" x14ac:dyDescent="0.4">
      <c r="A78" s="82">
        <v>69</v>
      </c>
      <c r="B78" s="326"/>
      <c r="C78" s="108">
        <v>43395</v>
      </c>
      <c r="D78" s="26">
        <v>830054076</v>
      </c>
      <c r="E78" s="27" t="str">
        <f>VLOOKUP(D78,[1]TERCEROS!$A$2:$C$4000,3,FALSE)</f>
        <v>FIDEICOMISOS SOCIEDAD FIDUCIARIA</v>
      </c>
      <c r="F78" s="28" t="s">
        <v>33</v>
      </c>
      <c r="G78" s="29">
        <v>9700</v>
      </c>
      <c r="H78" s="178">
        <v>0</v>
      </c>
      <c r="I78" s="231">
        <f t="shared" si="0"/>
        <v>9700</v>
      </c>
    </row>
    <row r="79" spans="1:9" s="1" customFormat="1" ht="15" thickBot="1" x14ac:dyDescent="0.4">
      <c r="A79" s="82">
        <v>70</v>
      </c>
      <c r="B79" s="326"/>
      <c r="C79" s="108">
        <v>43395</v>
      </c>
      <c r="D79" s="26">
        <v>830054076</v>
      </c>
      <c r="E79" s="27" t="str">
        <f>VLOOKUP(D79,[1]TERCEROS!$A$2:$C$4000,3,FALSE)</f>
        <v>FIDEICOMISOS SOCIEDAD FIDUCIARIA</v>
      </c>
      <c r="F79" s="28" t="s">
        <v>33</v>
      </c>
      <c r="G79" s="29">
        <v>9700</v>
      </c>
      <c r="H79" s="178">
        <v>0</v>
      </c>
      <c r="I79" s="231">
        <f t="shared" si="0"/>
        <v>9700</v>
      </c>
    </row>
    <row r="80" spans="1:9" s="1" customFormat="1" ht="15" thickBot="1" x14ac:dyDescent="0.4">
      <c r="A80" s="82">
        <v>71</v>
      </c>
      <c r="B80" s="326"/>
      <c r="C80" s="108">
        <v>43401</v>
      </c>
      <c r="D80" s="26">
        <v>900459737</v>
      </c>
      <c r="E80" s="27" t="str">
        <f>VLOOKUP(D80,[1]TERCEROS!$A$2:$C$4000,3,FALSE)</f>
        <v>GRUPO EDS AUTOGAS SAS</v>
      </c>
      <c r="F80" s="28" t="s">
        <v>34</v>
      </c>
      <c r="G80" s="29">
        <v>50000</v>
      </c>
      <c r="H80" s="178">
        <v>0</v>
      </c>
      <c r="I80" s="231">
        <f t="shared" si="0"/>
        <v>50000</v>
      </c>
    </row>
    <row r="81" spans="1:9" s="1" customFormat="1" ht="15" thickBot="1" x14ac:dyDescent="0.4">
      <c r="A81" s="82">
        <v>72</v>
      </c>
      <c r="B81" s="326"/>
      <c r="C81" s="108">
        <v>43395</v>
      </c>
      <c r="D81" s="26">
        <v>900047165</v>
      </c>
      <c r="E81" s="27" t="str">
        <f>VLOOKUP(D81,[1]TERCEROS!$A$2:$C$4000,3,FALSE)</f>
        <v>CN COMERCIAL BOUTIQUE SANTA ANA</v>
      </c>
      <c r="F81" s="28" t="s">
        <v>287</v>
      </c>
      <c r="G81" s="29">
        <v>7400</v>
      </c>
      <c r="H81" s="178">
        <v>0</v>
      </c>
      <c r="I81" s="231">
        <f t="shared" si="0"/>
        <v>7400</v>
      </c>
    </row>
    <row r="82" spans="1:9" s="1" customFormat="1" ht="15" thickBot="1" x14ac:dyDescent="0.4">
      <c r="A82" s="82">
        <v>73</v>
      </c>
      <c r="B82" s="326"/>
      <c r="C82" s="108">
        <v>43400</v>
      </c>
      <c r="D82" s="26">
        <v>860049609</v>
      </c>
      <c r="E82" s="27" t="s">
        <v>422</v>
      </c>
      <c r="F82" s="28" t="s">
        <v>68</v>
      </c>
      <c r="G82" s="29">
        <v>199507</v>
      </c>
      <c r="H82" s="178">
        <v>0</v>
      </c>
      <c r="I82" s="231">
        <f t="shared" si="0"/>
        <v>199507</v>
      </c>
    </row>
    <row r="83" spans="1:9" s="1" customFormat="1" ht="15" thickBot="1" x14ac:dyDescent="0.4">
      <c r="A83" s="82">
        <v>74</v>
      </c>
      <c r="B83" s="326"/>
      <c r="C83" s="108">
        <v>43398</v>
      </c>
      <c r="D83" s="26">
        <v>900906761</v>
      </c>
      <c r="E83" s="27" t="str">
        <f>VLOOKUP(D83,[1]TERCEROS!$A$2:$C$4000,3,FALSE)</f>
        <v>MOD COLOMBIA SAS</v>
      </c>
      <c r="F83" s="28" t="s">
        <v>34</v>
      </c>
      <c r="G83" s="29">
        <v>50000</v>
      </c>
      <c r="H83" s="178">
        <v>0</v>
      </c>
      <c r="I83" s="231">
        <f t="shared" si="0"/>
        <v>50000</v>
      </c>
    </row>
    <row r="84" spans="1:9" s="1" customFormat="1" ht="15" thickBot="1" x14ac:dyDescent="0.4">
      <c r="A84" s="82">
        <v>75</v>
      </c>
      <c r="B84" s="326"/>
      <c r="C84" s="108">
        <v>43398</v>
      </c>
      <c r="D84" s="26">
        <v>900953424</v>
      </c>
      <c r="E84" s="27" t="s">
        <v>423</v>
      </c>
      <c r="F84" s="28" t="s">
        <v>68</v>
      </c>
      <c r="G84" s="29">
        <v>97000</v>
      </c>
      <c r="H84" s="178">
        <v>0</v>
      </c>
      <c r="I84" s="231">
        <f t="shared" si="0"/>
        <v>97000</v>
      </c>
    </row>
    <row r="85" spans="1:9" s="1" customFormat="1" ht="15" thickBot="1" x14ac:dyDescent="0.4">
      <c r="A85" s="82">
        <v>76</v>
      </c>
      <c r="B85" s="326"/>
      <c r="C85" s="108">
        <v>43403</v>
      </c>
      <c r="D85" s="26">
        <v>11202446</v>
      </c>
      <c r="E85" s="27" t="str">
        <f>VLOOKUP(D85,[1]TERCEROS!$A$2:$C$4000,3,FALSE)</f>
        <v>CARLOS EMILIANO MARTINEZ CRISTANCHO</v>
      </c>
      <c r="F85" s="28" t="s">
        <v>48</v>
      </c>
      <c r="G85" s="29">
        <v>30000</v>
      </c>
      <c r="H85" s="178">
        <v>0</v>
      </c>
      <c r="I85" s="231">
        <f t="shared" si="0"/>
        <v>30000</v>
      </c>
    </row>
    <row r="86" spans="1:9" s="1" customFormat="1" ht="15" thickBot="1" x14ac:dyDescent="0.4">
      <c r="A86" s="82">
        <v>77</v>
      </c>
      <c r="B86" s="326"/>
      <c r="C86" s="108">
        <v>43404</v>
      </c>
      <c r="D86" s="26">
        <v>23596381</v>
      </c>
      <c r="E86" s="27" t="str">
        <f>VLOOKUP(D86,[1]TERCEROS!$A$2:$C$4000,3,FALSE)</f>
        <v>PARRILLA RESTAURANTE 2 ONCES</v>
      </c>
      <c r="F86" s="28" t="s">
        <v>424</v>
      </c>
      <c r="G86" s="29">
        <v>15000</v>
      </c>
      <c r="H86" s="178">
        <v>0</v>
      </c>
      <c r="I86" s="238">
        <f>G86+H86</f>
        <v>15000</v>
      </c>
    </row>
    <row r="87" spans="1:9" s="1" customFormat="1" ht="15" thickBot="1" x14ac:dyDescent="0.4">
      <c r="A87" s="82">
        <v>78</v>
      </c>
      <c r="B87" s="326"/>
      <c r="C87" s="108">
        <v>43405</v>
      </c>
      <c r="D87" s="26">
        <v>114442335</v>
      </c>
      <c r="E87" s="27" t="s">
        <v>129</v>
      </c>
      <c r="F87" s="28" t="s">
        <v>424</v>
      </c>
      <c r="G87" s="29">
        <v>53000</v>
      </c>
      <c r="H87" s="178">
        <v>0</v>
      </c>
      <c r="I87" s="238">
        <f t="shared" ref="I87:I104" si="1">G87+H87</f>
        <v>53000</v>
      </c>
    </row>
    <row r="88" spans="1:9" s="1" customFormat="1" ht="15" thickBot="1" x14ac:dyDescent="0.4">
      <c r="A88" s="82">
        <v>79</v>
      </c>
      <c r="B88" s="326"/>
      <c r="C88" s="108">
        <v>43403</v>
      </c>
      <c r="D88" s="26">
        <v>41634008</v>
      </c>
      <c r="E88" s="27" t="str">
        <f>VLOOKUP(D88,[1]TERCEROS!$A$2:$C$4000,3,FALSE)</f>
        <v>GLORIA HAIDEE PINZON</v>
      </c>
      <c r="F88" s="28" t="s">
        <v>287</v>
      </c>
      <c r="G88" s="29">
        <v>1650</v>
      </c>
      <c r="H88" s="178">
        <v>0</v>
      </c>
      <c r="I88" s="238">
        <f t="shared" si="1"/>
        <v>1650</v>
      </c>
    </row>
    <row r="89" spans="1:9" s="1" customFormat="1" ht="15" thickBot="1" x14ac:dyDescent="0.4">
      <c r="A89" s="82">
        <v>80</v>
      </c>
      <c r="B89" s="326"/>
      <c r="C89" s="108">
        <v>43400</v>
      </c>
      <c r="D89" s="26">
        <v>52706834</v>
      </c>
      <c r="E89" s="27" t="s">
        <v>425</v>
      </c>
      <c r="F89" s="28" t="s">
        <v>60</v>
      </c>
      <c r="G89" s="29">
        <v>22000</v>
      </c>
      <c r="H89" s="178">
        <v>0</v>
      </c>
      <c r="I89" s="238">
        <f t="shared" si="1"/>
        <v>22000</v>
      </c>
    </row>
    <row r="90" spans="1:9" s="1" customFormat="1" ht="15" thickBot="1" x14ac:dyDescent="0.4">
      <c r="A90" s="82">
        <v>81</v>
      </c>
      <c r="B90" s="326"/>
      <c r="C90" s="108">
        <v>43402</v>
      </c>
      <c r="D90" s="26">
        <v>41634008</v>
      </c>
      <c r="E90" s="27" t="str">
        <f>VLOOKUP(D90,[1]TERCEROS!$A$2:$C$4000,3,FALSE)</f>
        <v>GLORIA HAIDEE PINZON</v>
      </c>
      <c r="F90" s="28" t="s">
        <v>287</v>
      </c>
      <c r="G90" s="29">
        <v>2000</v>
      </c>
      <c r="H90" s="178">
        <v>0</v>
      </c>
      <c r="I90" s="238">
        <f t="shared" si="1"/>
        <v>2000</v>
      </c>
    </row>
    <row r="91" spans="1:9" s="1" customFormat="1" ht="15" thickBot="1" x14ac:dyDescent="0.4">
      <c r="A91" s="82">
        <v>82</v>
      </c>
      <c r="B91" s="326"/>
      <c r="C91" s="108">
        <v>43403</v>
      </c>
      <c r="D91" s="26">
        <v>16050001</v>
      </c>
      <c r="E91" s="27" t="s">
        <v>426</v>
      </c>
      <c r="F91" s="28" t="s">
        <v>287</v>
      </c>
      <c r="G91" s="29">
        <v>2350</v>
      </c>
      <c r="H91" s="178">
        <v>0</v>
      </c>
      <c r="I91" s="238">
        <f t="shared" si="1"/>
        <v>2350</v>
      </c>
    </row>
    <row r="92" spans="1:9" s="1" customFormat="1" ht="15" thickBot="1" x14ac:dyDescent="0.4">
      <c r="A92" s="82">
        <v>83</v>
      </c>
      <c r="B92" s="326"/>
      <c r="C92" s="108">
        <v>43403</v>
      </c>
      <c r="D92" s="26">
        <v>860058760</v>
      </c>
      <c r="E92" s="27" t="str">
        <f>VLOOKUP(D92,[1]TERCEROS!$A$2:$C$4000,3,FALSE)</f>
        <v>PARKING INTERNACIONAL LTDA</v>
      </c>
      <c r="F92" s="28" t="s">
        <v>287</v>
      </c>
      <c r="G92" s="29">
        <v>2050</v>
      </c>
      <c r="H92" s="178">
        <v>0</v>
      </c>
      <c r="I92" s="238">
        <f t="shared" si="1"/>
        <v>2050</v>
      </c>
    </row>
    <row r="93" spans="1:9" s="1" customFormat="1" ht="15" thickBot="1" x14ac:dyDescent="0.4">
      <c r="A93" s="82">
        <v>84</v>
      </c>
      <c r="B93" s="326"/>
      <c r="C93" s="108">
        <v>43404</v>
      </c>
      <c r="D93" s="26">
        <v>800095174</v>
      </c>
      <c r="E93" s="27" t="str">
        <f>VLOOKUP(D93,[1]TERCEROS!$A$2:$C$4000,3,FALSE)</f>
        <v>ALCALDIA MUNICIPAL DE TENJO</v>
      </c>
      <c r="F93" s="28" t="s">
        <v>427</v>
      </c>
      <c r="G93" s="29">
        <v>5250</v>
      </c>
      <c r="H93" s="178">
        <v>0</v>
      </c>
      <c r="I93" s="238">
        <f t="shared" si="1"/>
        <v>5250</v>
      </c>
    </row>
    <row r="94" spans="1:9" s="1" customFormat="1" ht="15" thickBot="1" x14ac:dyDescent="0.4">
      <c r="A94" s="82">
        <v>85</v>
      </c>
      <c r="B94" s="326"/>
      <c r="C94" s="108">
        <v>43406</v>
      </c>
      <c r="D94" s="26">
        <v>1067712921</v>
      </c>
      <c r="E94" s="27" t="s">
        <v>429</v>
      </c>
      <c r="F94" s="28" t="s">
        <v>428</v>
      </c>
      <c r="G94" s="29">
        <v>22500</v>
      </c>
      <c r="H94" s="178"/>
      <c r="I94" s="238">
        <f t="shared" si="1"/>
        <v>22500</v>
      </c>
    </row>
    <row r="95" spans="1:9" s="1" customFormat="1" ht="15" thickBot="1" x14ac:dyDescent="0.4">
      <c r="A95" s="82">
        <v>86</v>
      </c>
      <c r="B95" s="326"/>
      <c r="C95" s="108">
        <v>43406</v>
      </c>
      <c r="D95" s="26">
        <v>1023873228</v>
      </c>
      <c r="E95" s="27" t="s">
        <v>431</v>
      </c>
      <c r="F95" s="28" t="s">
        <v>430</v>
      </c>
      <c r="G95" s="29">
        <v>230000</v>
      </c>
      <c r="H95" s="178"/>
      <c r="I95" s="238">
        <f t="shared" si="1"/>
        <v>230000</v>
      </c>
    </row>
    <row r="96" spans="1:9" s="1" customFormat="1" ht="15" thickBot="1" x14ac:dyDescent="0.4">
      <c r="A96" s="82">
        <v>87</v>
      </c>
      <c r="B96" s="326"/>
      <c r="C96" s="108">
        <v>43406</v>
      </c>
      <c r="D96" s="26">
        <v>52703479</v>
      </c>
      <c r="E96" s="27" t="str">
        <f>VLOOKUP(D96,[1]TERCEROS!$A$2:$C$4000,3,FALSE)</f>
        <v>SILVA ANDREA PEDRAZA</v>
      </c>
      <c r="F96" s="28" t="s">
        <v>432</v>
      </c>
      <c r="G96" s="29">
        <v>275000</v>
      </c>
      <c r="H96" s="178"/>
      <c r="I96" s="238">
        <f t="shared" si="1"/>
        <v>275000</v>
      </c>
    </row>
    <row r="97" spans="1:37" s="1" customFormat="1" ht="15" thickBot="1" x14ac:dyDescent="0.4">
      <c r="A97" s="82">
        <v>88</v>
      </c>
      <c r="B97" s="326"/>
      <c r="C97" s="108">
        <v>43406</v>
      </c>
      <c r="D97" s="26">
        <v>22222222</v>
      </c>
      <c r="E97" s="27" t="s">
        <v>433</v>
      </c>
      <c r="F97" s="28" t="s">
        <v>434</v>
      </c>
      <c r="G97" s="29">
        <v>228000</v>
      </c>
      <c r="H97" s="178"/>
      <c r="I97" s="238">
        <f t="shared" si="1"/>
        <v>228000</v>
      </c>
    </row>
    <row r="98" spans="1:37" s="1" customFormat="1" ht="15" thickBot="1" x14ac:dyDescent="0.4">
      <c r="A98" s="82">
        <v>89</v>
      </c>
      <c r="B98" s="326"/>
      <c r="C98" s="108">
        <v>43406</v>
      </c>
      <c r="D98" s="26">
        <v>222222222</v>
      </c>
      <c r="E98" s="27" t="str">
        <f>VLOOKUP(D98,[1]TERCEROS!$A$2:$C$4000,3,FALSE)</f>
        <v>CUANTIAS MINIMAS</v>
      </c>
      <c r="F98" s="28" t="s">
        <v>435</v>
      </c>
      <c r="G98" s="29">
        <v>45000</v>
      </c>
      <c r="H98" s="178"/>
      <c r="I98" s="238">
        <f t="shared" si="1"/>
        <v>45000</v>
      </c>
    </row>
    <row r="99" spans="1:37" s="1" customFormat="1" ht="15" thickBot="1" x14ac:dyDescent="0.4">
      <c r="A99" s="82">
        <v>90</v>
      </c>
      <c r="B99" s="326"/>
      <c r="C99" s="108">
        <v>43409</v>
      </c>
      <c r="D99" s="26">
        <v>6464062</v>
      </c>
      <c r="E99" s="27" t="s">
        <v>436</v>
      </c>
      <c r="F99" s="28" t="s">
        <v>287</v>
      </c>
      <c r="G99" s="29">
        <v>1600</v>
      </c>
      <c r="H99" s="178"/>
      <c r="I99" s="238">
        <f t="shared" si="1"/>
        <v>1600</v>
      </c>
    </row>
    <row r="100" spans="1:37" s="1" customFormat="1" ht="15" thickBot="1" x14ac:dyDescent="0.4">
      <c r="A100" s="82">
        <v>91</v>
      </c>
      <c r="B100" s="326"/>
      <c r="C100" s="108">
        <v>43406</v>
      </c>
      <c r="D100" s="26">
        <v>222222222</v>
      </c>
      <c r="E100" s="27" t="str">
        <f>VLOOKUP(D100,[1]TERCEROS!$A$2:$C$4000,3,FALSE)</f>
        <v>CUANTIAS MINIMAS</v>
      </c>
      <c r="F100" s="28" t="s">
        <v>287</v>
      </c>
      <c r="G100" s="29">
        <v>6000</v>
      </c>
      <c r="H100" s="178"/>
      <c r="I100" s="238">
        <f t="shared" si="1"/>
        <v>6000</v>
      </c>
    </row>
    <row r="101" spans="1:37" s="1" customFormat="1" ht="15" thickBot="1" x14ac:dyDescent="0.4">
      <c r="A101" s="82">
        <v>92</v>
      </c>
      <c r="B101" s="326"/>
      <c r="C101" s="108">
        <v>43406</v>
      </c>
      <c r="D101" s="26">
        <v>6464062</v>
      </c>
      <c r="E101" s="27" t="s">
        <v>436</v>
      </c>
      <c r="F101" s="28" t="s">
        <v>287</v>
      </c>
      <c r="G101" s="29">
        <v>3300</v>
      </c>
      <c r="H101" s="178"/>
      <c r="I101" s="238">
        <f t="shared" si="1"/>
        <v>3300</v>
      </c>
    </row>
    <row r="102" spans="1:37" s="1" customFormat="1" ht="15" thickBot="1" x14ac:dyDescent="0.4">
      <c r="A102" s="82">
        <v>93</v>
      </c>
      <c r="B102" s="326"/>
      <c r="C102" s="108">
        <v>43405</v>
      </c>
      <c r="D102" s="26">
        <v>830107120</v>
      </c>
      <c r="E102" s="27" t="s">
        <v>437</v>
      </c>
      <c r="F102" s="28" t="s">
        <v>287</v>
      </c>
      <c r="G102" s="29">
        <v>1100</v>
      </c>
      <c r="H102" s="178"/>
      <c r="I102" s="238">
        <f t="shared" si="1"/>
        <v>1100</v>
      </c>
    </row>
    <row r="103" spans="1:37" s="1" customFormat="1" ht="15" thickBot="1" x14ac:dyDescent="0.4">
      <c r="A103" s="82">
        <v>94</v>
      </c>
      <c r="B103" s="326"/>
      <c r="C103" s="108">
        <v>43410</v>
      </c>
      <c r="D103" s="26">
        <v>222222222</v>
      </c>
      <c r="E103" s="27" t="str">
        <f>VLOOKUP(D103,[1]TERCEROS!$A$2:$C$4000,3,FALSE)</f>
        <v>CUANTIAS MINIMAS</v>
      </c>
      <c r="F103" s="28" t="s">
        <v>237</v>
      </c>
      <c r="G103" s="29">
        <v>10200</v>
      </c>
      <c r="H103" s="178"/>
      <c r="I103" s="238">
        <f t="shared" si="1"/>
        <v>10200</v>
      </c>
    </row>
    <row r="104" spans="1:37" s="1" customFormat="1" ht="15" thickBot="1" x14ac:dyDescent="0.4">
      <c r="A104" s="82">
        <v>95</v>
      </c>
      <c r="B104" s="326"/>
      <c r="C104" s="108">
        <v>43406</v>
      </c>
      <c r="D104" s="26">
        <v>830114594</v>
      </c>
      <c r="E104" s="27" t="s">
        <v>439</v>
      </c>
      <c r="F104" s="28" t="s">
        <v>438</v>
      </c>
      <c r="G104" s="29">
        <v>105042</v>
      </c>
      <c r="H104" s="178">
        <f>+G104*19%</f>
        <v>19957.98</v>
      </c>
      <c r="I104" s="238">
        <f t="shared" si="1"/>
        <v>124999.98</v>
      </c>
    </row>
    <row r="105" spans="1:37" s="2" customFormat="1" ht="15.75" customHeight="1" thickBot="1" x14ac:dyDescent="0.4">
      <c r="A105" s="327" t="s">
        <v>442</v>
      </c>
      <c r="B105" s="328"/>
      <c r="C105" s="329"/>
      <c r="D105" s="329"/>
      <c r="E105" s="330"/>
      <c r="F105" s="93" t="s">
        <v>24</v>
      </c>
      <c r="G105" s="94">
        <f>SUM(G10:G104)</f>
        <v>2517578</v>
      </c>
      <c r="H105" s="94">
        <f>SUM(H10:H104)</f>
        <v>20913.489999999998</v>
      </c>
      <c r="I105" s="94">
        <f>SUM(I10:I104)</f>
        <v>2538491.4899999998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s="2" customFormat="1" ht="15" customHeight="1" x14ac:dyDescent="0.35">
      <c r="A106" s="300" t="s">
        <v>26</v>
      </c>
      <c r="B106" s="301"/>
      <c r="C106" s="301"/>
      <c r="D106" s="306" t="s">
        <v>58</v>
      </c>
      <c r="E106" s="307"/>
      <c r="F106" s="312"/>
      <c r="G106" s="315" t="s">
        <v>16</v>
      </c>
      <c r="H106" s="316"/>
      <c r="I106" s="35">
        <v>3000000</v>
      </c>
      <c r="J106" s="1"/>
      <c r="K106" s="1"/>
      <c r="L106" s="1"/>
      <c r="M106" s="2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s="2" customFormat="1" ht="15" customHeight="1" x14ac:dyDescent="0.35">
      <c r="A107" s="302"/>
      <c r="B107" s="303"/>
      <c r="C107" s="303"/>
      <c r="D107" s="308"/>
      <c r="E107" s="309"/>
      <c r="F107" s="313"/>
      <c r="G107" s="317" t="s">
        <v>17</v>
      </c>
      <c r="H107" s="318"/>
      <c r="I107" s="36">
        <f>+I106-I105</f>
        <v>461508.51000000024</v>
      </c>
      <c r="J107" s="1"/>
      <c r="K107" s="1"/>
      <c r="L107" s="1"/>
      <c r="M107" s="2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s="1" customFormat="1" ht="15.75" customHeight="1" thickBot="1" x14ac:dyDescent="0.4">
      <c r="A108" s="304"/>
      <c r="B108" s="305"/>
      <c r="C108" s="305"/>
      <c r="D108" s="310"/>
      <c r="E108" s="311"/>
      <c r="F108" s="314"/>
      <c r="G108" s="289" t="s">
        <v>5</v>
      </c>
      <c r="H108" s="290"/>
      <c r="I108" s="37">
        <f>+I106-I107</f>
        <v>2538491.4899999998</v>
      </c>
    </row>
    <row r="109" spans="1:37" s="1" customFormat="1" ht="15" thickBot="1" x14ac:dyDescent="0.4">
      <c r="A109" s="291" t="s">
        <v>25</v>
      </c>
      <c r="B109" s="292"/>
      <c r="C109" s="292"/>
      <c r="D109" s="293"/>
      <c r="E109" s="38"/>
      <c r="F109" s="38"/>
      <c r="G109" s="38"/>
      <c r="H109" s="38"/>
      <c r="I109" s="39"/>
    </row>
    <row r="110" spans="1:37" s="1" customFormat="1" ht="15" thickBot="1" x14ac:dyDescent="0.4">
      <c r="A110" s="40"/>
      <c r="B110" s="41" t="s">
        <v>6</v>
      </c>
      <c r="C110" s="42">
        <f>D126</f>
        <v>350200</v>
      </c>
      <c r="D110" s="39"/>
      <c r="E110" s="43">
        <f>C110+C113+I105</f>
        <v>2999691.4899999998</v>
      </c>
      <c r="F110" s="43"/>
      <c r="G110" s="38"/>
      <c r="H110" s="38"/>
      <c r="I110" s="44"/>
    </row>
    <row r="111" spans="1:37" s="1" customFormat="1" ht="15" thickBot="1" x14ac:dyDescent="0.4">
      <c r="A111" s="40"/>
      <c r="B111" s="41" t="s">
        <v>441</v>
      </c>
      <c r="C111" s="45">
        <v>111000</v>
      </c>
      <c r="D111" s="39"/>
      <c r="E111" s="43">
        <f>+E110-I106</f>
        <v>-308.51000000024214</v>
      </c>
      <c r="F111" s="38"/>
      <c r="G111" s="38"/>
      <c r="H111" s="38"/>
      <c r="I111" s="39"/>
    </row>
    <row r="112" spans="1:37" s="1" customFormat="1" ht="15" thickBot="1" x14ac:dyDescent="0.4">
      <c r="A112" s="40"/>
      <c r="B112" s="46" t="s">
        <v>309</v>
      </c>
      <c r="C112" s="45">
        <v>0</v>
      </c>
      <c r="D112" s="39"/>
      <c r="E112" s="43"/>
      <c r="F112" s="38"/>
      <c r="G112" s="38"/>
      <c r="H112" s="38"/>
      <c r="I112" s="39"/>
    </row>
    <row r="113" spans="1:37" s="1" customFormat="1" ht="15" thickBot="1" x14ac:dyDescent="0.4">
      <c r="A113" s="40"/>
      <c r="B113" s="47" t="s">
        <v>7</v>
      </c>
      <c r="C113" s="45">
        <f>SUM(C111:C112)</f>
        <v>111000</v>
      </c>
      <c r="D113" s="39"/>
      <c r="E113" s="48"/>
      <c r="F113" s="48"/>
      <c r="G113" s="48"/>
      <c r="H113" s="48"/>
      <c r="I113" s="49"/>
    </row>
    <row r="114" spans="1:37" s="1" customFormat="1" ht="15" thickBot="1" x14ac:dyDescent="0.4">
      <c r="A114" s="40"/>
      <c r="B114" s="50"/>
      <c r="C114" s="51"/>
      <c r="D114" s="39"/>
      <c r="E114" s="48"/>
      <c r="F114" s="48"/>
      <c r="G114" s="48"/>
      <c r="H114" s="48"/>
      <c r="I114" s="49"/>
    </row>
    <row r="115" spans="1:37" s="1" customFormat="1" ht="15" thickBot="1" x14ac:dyDescent="0.4">
      <c r="A115" s="40"/>
      <c r="B115" s="52"/>
      <c r="C115" s="53" t="s">
        <v>11</v>
      </c>
      <c r="D115" s="54" t="s">
        <v>4</v>
      </c>
      <c r="E115" s="38"/>
      <c r="F115" s="55"/>
      <c r="G115" s="38"/>
      <c r="H115" s="38"/>
      <c r="I115" s="39"/>
    </row>
    <row r="116" spans="1:37" s="1" customFormat="1" ht="14.5" x14ac:dyDescent="0.35">
      <c r="A116" s="40"/>
      <c r="B116" s="56">
        <v>7</v>
      </c>
      <c r="C116" s="57">
        <v>50000</v>
      </c>
      <c r="D116" s="58">
        <f t="shared" ref="D116:D125" si="2">+C116*B116</f>
        <v>350000</v>
      </c>
      <c r="E116" s="253" t="s">
        <v>29</v>
      </c>
      <c r="F116" s="60" t="s">
        <v>27</v>
      </c>
      <c r="G116" s="294" t="s">
        <v>28</v>
      </c>
      <c r="H116" s="294"/>
      <c r="I116" s="295"/>
    </row>
    <row r="117" spans="1:37" s="5" customFormat="1" ht="15" customHeight="1" x14ac:dyDescent="0.35">
      <c r="A117" s="40"/>
      <c r="B117" s="62"/>
      <c r="C117" s="63">
        <v>20000</v>
      </c>
      <c r="D117" s="58">
        <f t="shared" si="2"/>
        <v>0</v>
      </c>
      <c r="E117" s="251" t="s">
        <v>19</v>
      </c>
      <c r="F117" s="251" t="s">
        <v>20</v>
      </c>
      <c r="G117" s="296" t="s">
        <v>21</v>
      </c>
      <c r="H117" s="296"/>
      <c r="I117" s="29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s="5" customFormat="1" ht="15" customHeight="1" x14ac:dyDescent="0.35">
      <c r="A118" s="40"/>
      <c r="B118" s="62"/>
      <c r="C118" s="63">
        <v>10000</v>
      </c>
      <c r="D118" s="58">
        <f t="shared" si="2"/>
        <v>0</v>
      </c>
      <c r="E118" s="252" t="s">
        <v>79</v>
      </c>
      <c r="F118" s="252" t="s">
        <v>80</v>
      </c>
      <c r="G118" s="298" t="s">
        <v>81</v>
      </c>
      <c r="H118" s="298"/>
      <c r="I118" s="29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s="5" customFormat="1" ht="15" customHeight="1" x14ac:dyDescent="0.35">
      <c r="A119" s="40"/>
      <c r="B119" s="62"/>
      <c r="C119" s="63">
        <v>5000</v>
      </c>
      <c r="D119" s="58">
        <f t="shared" si="2"/>
        <v>0</v>
      </c>
      <c r="E119" s="38" t="s">
        <v>0</v>
      </c>
      <c r="F119" s="38"/>
      <c r="G119" s="38"/>
      <c r="H119" s="38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s="5" customFormat="1" ht="15" customHeight="1" x14ac:dyDescent="0.35">
      <c r="A120" s="40"/>
      <c r="B120" s="62"/>
      <c r="C120" s="63">
        <v>2000</v>
      </c>
      <c r="D120" s="58">
        <f t="shared" si="2"/>
        <v>0</v>
      </c>
      <c r="E120" s="38"/>
      <c r="F120" s="38" t="s">
        <v>8</v>
      </c>
      <c r="G120" s="38"/>
      <c r="H120" s="38"/>
      <c r="I120" s="3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s="5" customFormat="1" ht="15" customHeight="1" x14ac:dyDescent="0.35">
      <c r="A121" s="40"/>
      <c r="B121" s="62"/>
      <c r="C121" s="63">
        <v>1000</v>
      </c>
      <c r="D121" s="58">
        <f t="shared" si="2"/>
        <v>0</v>
      </c>
      <c r="E121" s="38"/>
      <c r="F121" s="38"/>
      <c r="G121" s="38"/>
      <c r="H121" s="38"/>
      <c r="I121" s="3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s="1" customFormat="1" ht="15" customHeight="1" x14ac:dyDescent="0.35">
      <c r="A122" s="40"/>
      <c r="B122" s="62"/>
      <c r="C122" s="63">
        <v>500</v>
      </c>
      <c r="D122" s="58">
        <f t="shared" si="2"/>
        <v>0</v>
      </c>
      <c r="E122" s="38"/>
      <c r="F122" s="38"/>
      <c r="G122" s="38"/>
      <c r="H122" s="38"/>
      <c r="I122" s="39"/>
    </row>
    <row r="123" spans="1:37" s="1" customFormat="1" ht="15" customHeight="1" x14ac:dyDescent="0.35">
      <c r="A123" s="40"/>
      <c r="B123" s="62">
        <v>1</v>
      </c>
      <c r="C123" s="63">
        <v>200</v>
      </c>
      <c r="D123" s="58">
        <f t="shared" si="2"/>
        <v>200</v>
      </c>
      <c r="E123" s="38"/>
      <c r="F123" s="38"/>
      <c r="G123" s="38"/>
      <c r="H123" s="38"/>
      <c r="I123" s="39"/>
    </row>
    <row r="124" spans="1:37" s="1" customFormat="1" ht="15" customHeight="1" x14ac:dyDescent="0.35">
      <c r="A124" s="40"/>
      <c r="B124" s="62"/>
      <c r="C124" s="63">
        <v>100</v>
      </c>
      <c r="D124" s="58">
        <f>+C124*B124</f>
        <v>0</v>
      </c>
      <c r="E124" s="38"/>
      <c r="F124" s="38"/>
      <c r="G124" s="38"/>
      <c r="H124" s="38"/>
      <c r="I124" s="39"/>
    </row>
    <row r="125" spans="1:37" s="5" customFormat="1" ht="15" customHeight="1" thickBot="1" x14ac:dyDescent="0.4">
      <c r="A125" s="40"/>
      <c r="B125" s="68"/>
      <c r="C125" s="69">
        <v>50</v>
      </c>
      <c r="D125" s="58">
        <f t="shared" si="2"/>
        <v>0</v>
      </c>
      <c r="E125" s="38"/>
      <c r="F125" s="38"/>
      <c r="G125" s="38"/>
      <c r="H125" s="38"/>
      <c r="I125" s="3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s="1" customFormat="1" ht="15" customHeight="1" thickBot="1" x14ac:dyDescent="0.4">
      <c r="A126" s="40"/>
      <c r="B126" s="253"/>
      <c r="C126" s="70"/>
      <c r="D126" s="71">
        <f>SUM(D116:D125)</f>
        <v>350200</v>
      </c>
      <c r="E126" s="38"/>
      <c r="F126" s="38"/>
      <c r="G126" s="38"/>
      <c r="H126" s="38"/>
      <c r="I126" s="39"/>
    </row>
    <row r="127" spans="1:37" s="5" customFormat="1" ht="15" customHeight="1" thickBot="1" x14ac:dyDescent="0.4">
      <c r="A127" s="72"/>
      <c r="B127" s="73"/>
      <c r="C127" s="74"/>
      <c r="D127" s="75"/>
      <c r="E127" s="76"/>
      <c r="F127" s="76"/>
      <c r="G127" s="76"/>
      <c r="H127" s="76"/>
      <c r="I127" s="7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s="5" customFormat="1" ht="22.5" customHeight="1" x14ac:dyDescent="0.35">
      <c r="A128" s="1"/>
      <c r="B128"/>
      <c r="C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s="3" customFormat="1" ht="22.5" customHeight="1" x14ac:dyDescent="0.35">
      <c r="A129"/>
      <c r="B129"/>
      <c r="C129" s="6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 s="3" customFormat="1" ht="22.5" customHeight="1" x14ac:dyDescent="0.35">
      <c r="A130"/>
      <c r="B130"/>
      <c r="C130" s="6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 s="3" customFormat="1" ht="22.5" customHeight="1" x14ac:dyDescent="0.35">
      <c r="A131"/>
      <c r="B131"/>
      <c r="C131" s="6"/>
      <c r="D131" s="7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</sheetData>
  <autoFilter ref="C9:J113"/>
  <mergeCells count="21">
    <mergeCell ref="A1:B6"/>
    <mergeCell ref="C1:F3"/>
    <mergeCell ref="G1:I2"/>
    <mergeCell ref="G3:I4"/>
    <mergeCell ref="C4:F6"/>
    <mergeCell ref="G5:I6"/>
    <mergeCell ref="A7:B7"/>
    <mergeCell ref="C7:I7"/>
    <mergeCell ref="A8:I8"/>
    <mergeCell ref="B11:B104"/>
    <mergeCell ref="A105:E105"/>
    <mergeCell ref="G108:H108"/>
    <mergeCell ref="A109:D109"/>
    <mergeCell ref="G116:I116"/>
    <mergeCell ref="G117:I117"/>
    <mergeCell ref="G118:I118"/>
    <mergeCell ref="A106:C108"/>
    <mergeCell ref="D106:E108"/>
    <mergeCell ref="F106:F108"/>
    <mergeCell ref="G106:H106"/>
    <mergeCell ref="G107:H107"/>
  </mergeCells>
  <pageMargins left="0.7" right="0.7" top="0.75" bottom="0.75" header="0.3" footer="0.3"/>
  <pageSetup scale="4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AK99"/>
  <sheetViews>
    <sheetView showGridLines="0" topLeftCell="C19" workbookViewId="0">
      <selection activeCell="D73" sqref="D73:E75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43339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8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8" t="str">
        <f>IF(K14=1,"IVA","TRM")</f>
        <v>IVA</v>
      </c>
      <c r="I9" s="14" t="s">
        <v>4</v>
      </c>
    </row>
    <row r="10" spans="1:12" s="1" customFormat="1" ht="14.5" x14ac:dyDescent="0.35">
      <c r="A10" s="15">
        <v>1</v>
      </c>
      <c r="B10" s="336" t="s">
        <v>32</v>
      </c>
      <c r="C10" s="16">
        <v>43330</v>
      </c>
      <c r="D10" s="17">
        <v>830054076</v>
      </c>
      <c r="E10" s="18" t="str">
        <f>VLOOKUP(D10,[1]TERCEROS!$A$2:$C$4000,3,FALSE)</f>
        <v>FIDEICOMISOS SOCIEDAD FIDUCIARIA</v>
      </c>
      <c r="F10" s="19" t="s">
        <v>33</v>
      </c>
      <c r="G10" s="20">
        <v>9700</v>
      </c>
      <c r="H10" s="21"/>
      <c r="I10" s="22">
        <f>IF($K$14=1,G10+H10,G10*H10)</f>
        <v>9700</v>
      </c>
    </row>
    <row r="11" spans="1:12" s="1" customFormat="1" ht="14.5" x14ac:dyDescent="0.35">
      <c r="A11" s="23">
        <v>2</v>
      </c>
      <c r="B11" s="337"/>
      <c r="C11" s="25">
        <v>43328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30"/>
      <c r="I11" s="31">
        <f>IF($K$14=1,G11+H11,G11*H11)</f>
        <v>9700</v>
      </c>
    </row>
    <row r="12" spans="1:12" s="1" customFormat="1" ht="14.5" x14ac:dyDescent="0.35">
      <c r="A12" s="23">
        <v>3</v>
      </c>
      <c r="B12" s="337"/>
      <c r="C12" s="25">
        <v>43328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30"/>
      <c r="I12" s="31">
        <f t="shared" ref="I12:I71" si="0">IF($K$14=1,G12+H12,G12*H12)</f>
        <v>9700</v>
      </c>
    </row>
    <row r="13" spans="1:12" s="1" customFormat="1" ht="14.5" x14ac:dyDescent="0.35">
      <c r="A13" s="23">
        <v>4</v>
      </c>
      <c r="B13" s="337"/>
      <c r="C13" s="25">
        <v>43335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30"/>
      <c r="I13" s="31">
        <f t="shared" si="0"/>
        <v>9700</v>
      </c>
    </row>
    <row r="14" spans="1:12" s="1" customFormat="1" ht="14.5" x14ac:dyDescent="0.35">
      <c r="A14" s="23">
        <v>5</v>
      </c>
      <c r="B14" s="337"/>
      <c r="C14" s="25">
        <v>43335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30"/>
      <c r="I14" s="31">
        <f t="shared" si="0"/>
        <v>9700</v>
      </c>
      <c r="K14" s="1">
        <v>1</v>
      </c>
    </row>
    <row r="15" spans="1:12" s="1" customFormat="1" ht="14.5" x14ac:dyDescent="0.35">
      <c r="A15" s="23">
        <v>6</v>
      </c>
      <c r="B15" s="337"/>
      <c r="C15" s="25">
        <v>43330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30"/>
      <c r="I15" s="31">
        <f t="shared" si="0"/>
        <v>9700</v>
      </c>
    </row>
    <row r="16" spans="1:12" s="1" customFormat="1" ht="15" thickBot="1" x14ac:dyDescent="0.4">
      <c r="A16" s="23">
        <v>7</v>
      </c>
      <c r="B16" s="337"/>
      <c r="C16" s="25">
        <v>43334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30"/>
      <c r="I16" s="31">
        <f t="shared" si="0"/>
        <v>9700</v>
      </c>
    </row>
    <row r="17" spans="1:9" s="1" customFormat="1" ht="14.5" x14ac:dyDescent="0.35">
      <c r="A17" s="15">
        <v>8</v>
      </c>
      <c r="B17" s="337"/>
      <c r="C17" s="25">
        <v>43335</v>
      </c>
      <c r="D17" s="26">
        <v>900491889</v>
      </c>
      <c r="E17" s="27" t="str">
        <f>VLOOKUP(D17,[1]TERCEROS!$A$2:$C$4000,3,FALSE)</f>
        <v>EDS TERMINAL NEIVA</v>
      </c>
      <c r="F17" s="28" t="s">
        <v>34</v>
      </c>
      <c r="G17" s="29">
        <v>120000</v>
      </c>
      <c r="H17" s="30"/>
      <c r="I17" s="31">
        <f t="shared" si="0"/>
        <v>120000</v>
      </c>
    </row>
    <row r="18" spans="1:9" s="1" customFormat="1" ht="14.5" x14ac:dyDescent="0.35">
      <c r="A18" s="23">
        <v>9</v>
      </c>
      <c r="B18" s="337"/>
      <c r="C18" s="25">
        <v>43333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30"/>
      <c r="I18" s="31">
        <f t="shared" si="0"/>
        <v>9700</v>
      </c>
    </row>
    <row r="19" spans="1:9" s="1" customFormat="1" ht="14.5" x14ac:dyDescent="0.35">
      <c r="A19" s="23">
        <v>10</v>
      </c>
      <c r="B19" s="337"/>
      <c r="C19" s="25">
        <v>43333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30"/>
      <c r="I19" s="31">
        <f t="shared" si="0"/>
        <v>9700</v>
      </c>
    </row>
    <row r="20" spans="1:9" s="1" customFormat="1" ht="14.5" x14ac:dyDescent="0.35">
      <c r="A20" s="23">
        <v>11</v>
      </c>
      <c r="B20" s="337"/>
      <c r="C20" s="25">
        <v>43327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30"/>
      <c r="I20" s="31">
        <f t="shared" si="0"/>
        <v>9700</v>
      </c>
    </row>
    <row r="21" spans="1:9" s="1" customFormat="1" ht="14.5" x14ac:dyDescent="0.35">
      <c r="A21" s="23">
        <v>12</v>
      </c>
      <c r="B21" s="337"/>
      <c r="C21" s="25">
        <v>43327</v>
      </c>
      <c r="D21" s="26">
        <v>860503560</v>
      </c>
      <c r="E21" s="27" t="str">
        <f>VLOOKUP(D21,[1]TERCEROS!$A$2:$C$4000,3,FALSE)</f>
        <v>APARCAR LTDA</v>
      </c>
      <c r="F21" s="28" t="s">
        <v>35</v>
      </c>
      <c r="G21" s="29">
        <v>1000</v>
      </c>
      <c r="H21" s="30"/>
      <c r="I21" s="31">
        <f t="shared" si="0"/>
        <v>1000</v>
      </c>
    </row>
    <row r="22" spans="1:9" s="1" customFormat="1" ht="14.5" x14ac:dyDescent="0.35">
      <c r="A22" s="23">
        <v>13</v>
      </c>
      <c r="B22" s="337"/>
      <c r="C22" s="25">
        <v>43329</v>
      </c>
      <c r="D22" s="26">
        <v>1022421503</v>
      </c>
      <c r="E22" s="27" t="s">
        <v>37</v>
      </c>
      <c r="F22" s="28" t="s">
        <v>35</v>
      </c>
      <c r="G22" s="29">
        <v>2000</v>
      </c>
      <c r="H22" s="30"/>
      <c r="I22" s="31">
        <f t="shared" si="0"/>
        <v>2000</v>
      </c>
    </row>
    <row r="23" spans="1:9" s="1" customFormat="1" ht="15" thickBot="1" x14ac:dyDescent="0.4">
      <c r="A23" s="23">
        <v>14</v>
      </c>
      <c r="B23" s="337"/>
      <c r="C23" s="25">
        <v>43327</v>
      </c>
      <c r="D23" s="26">
        <v>1124015055</v>
      </c>
      <c r="E23" s="27" t="s">
        <v>36</v>
      </c>
      <c r="F23" s="28" t="s">
        <v>35</v>
      </c>
      <c r="G23" s="29">
        <v>3000</v>
      </c>
      <c r="H23" s="30"/>
      <c r="I23" s="31">
        <f t="shared" si="0"/>
        <v>3000</v>
      </c>
    </row>
    <row r="24" spans="1:9" s="1" customFormat="1" ht="14.5" x14ac:dyDescent="0.35">
      <c r="A24" s="15">
        <v>15</v>
      </c>
      <c r="B24" s="337"/>
      <c r="C24" s="25">
        <v>43328</v>
      </c>
      <c r="D24" s="26">
        <v>6464062</v>
      </c>
      <c r="E24" s="27" t="str">
        <f>VLOOKUP(D24,[1]TERCEROS!$A$2:$C$4000,3,FALSE)</f>
        <v>PARKMOTO</v>
      </c>
      <c r="F24" s="28" t="s">
        <v>35</v>
      </c>
      <c r="G24" s="29">
        <v>3000</v>
      </c>
      <c r="H24" s="30"/>
      <c r="I24" s="31">
        <f t="shared" si="0"/>
        <v>3000</v>
      </c>
    </row>
    <row r="25" spans="1:9" s="1" customFormat="1" ht="14.5" x14ac:dyDescent="0.35">
      <c r="A25" s="23">
        <v>16</v>
      </c>
      <c r="B25" s="337"/>
      <c r="C25" s="25">
        <v>43328</v>
      </c>
      <c r="D25" s="26">
        <v>41634008</v>
      </c>
      <c r="E25" s="27" t="str">
        <f>VLOOKUP(D25,[1]TERCEROS!$A$2:$C$4000,3,FALSE)</f>
        <v>GLORIA HAIDEE PINZON</v>
      </c>
      <c r="F25" s="28" t="s">
        <v>35</v>
      </c>
      <c r="G25" s="29">
        <v>1000</v>
      </c>
      <c r="H25" s="30"/>
      <c r="I25" s="31">
        <f t="shared" si="0"/>
        <v>1000</v>
      </c>
    </row>
    <row r="26" spans="1:9" s="1" customFormat="1" ht="14.5" x14ac:dyDescent="0.35">
      <c r="A26" s="23">
        <v>17</v>
      </c>
      <c r="B26" s="337"/>
      <c r="C26" s="25">
        <v>43328</v>
      </c>
      <c r="D26" s="26">
        <v>1022421503</v>
      </c>
      <c r="E26" s="27" t="s">
        <v>37</v>
      </c>
      <c r="F26" s="28" t="s">
        <v>35</v>
      </c>
      <c r="G26" s="29">
        <v>1500</v>
      </c>
      <c r="H26" s="30"/>
      <c r="I26" s="31">
        <f t="shared" si="0"/>
        <v>1500</v>
      </c>
    </row>
    <row r="27" spans="1:9" s="1" customFormat="1" ht="14.5" x14ac:dyDescent="0.35">
      <c r="A27" s="23">
        <v>18</v>
      </c>
      <c r="B27" s="337"/>
      <c r="C27" s="25">
        <v>43334</v>
      </c>
      <c r="D27" s="26">
        <v>830050619</v>
      </c>
      <c r="E27" s="27" t="str">
        <f>VLOOKUP(D27,[1]TERCEROS!$A$2:$C$4000,3,FALSE)</f>
        <v>CITY PARKING S.A</v>
      </c>
      <c r="F27" s="28" t="s">
        <v>35</v>
      </c>
      <c r="G27" s="29">
        <v>550</v>
      </c>
      <c r="H27" s="30"/>
      <c r="I27" s="31">
        <f t="shared" si="0"/>
        <v>550</v>
      </c>
    </row>
    <row r="28" spans="1:9" s="1" customFormat="1" ht="14.5" x14ac:dyDescent="0.35">
      <c r="A28" s="23">
        <v>19</v>
      </c>
      <c r="B28" s="337"/>
      <c r="C28" s="25">
        <v>43327</v>
      </c>
      <c r="D28" s="26">
        <v>900085569</v>
      </c>
      <c r="E28" s="27" t="str">
        <f>VLOOKUP(D28,[1]TERCEROS!$A$2:$C$4000,3,FALSE)</f>
        <v>CN COMERCIAL Y DE NEGOCIOS</v>
      </c>
      <c r="F28" s="28" t="s">
        <v>35</v>
      </c>
      <c r="G28" s="29">
        <v>1100</v>
      </c>
      <c r="H28" s="30"/>
      <c r="I28" s="31">
        <f t="shared" si="0"/>
        <v>1100</v>
      </c>
    </row>
    <row r="29" spans="1:9" s="1" customFormat="1" ht="14.5" x14ac:dyDescent="0.35">
      <c r="A29" s="23">
        <v>20</v>
      </c>
      <c r="B29" s="337"/>
      <c r="C29" s="25">
        <v>43328</v>
      </c>
      <c r="D29" s="26">
        <v>830050619</v>
      </c>
      <c r="E29" s="27" t="str">
        <f>VLOOKUP(D29,[1]TERCEROS!$A$2:$C$4000,3,FALSE)</f>
        <v>CITY PARKING S.A</v>
      </c>
      <c r="F29" s="28" t="s">
        <v>35</v>
      </c>
      <c r="G29" s="29">
        <v>850</v>
      </c>
      <c r="H29" s="30"/>
      <c r="I29" s="31">
        <f t="shared" si="0"/>
        <v>850</v>
      </c>
    </row>
    <row r="30" spans="1:9" s="1" customFormat="1" ht="15" thickBot="1" x14ac:dyDescent="0.4">
      <c r="A30" s="23">
        <v>21</v>
      </c>
      <c r="B30" s="337"/>
      <c r="C30" s="25">
        <v>43334</v>
      </c>
      <c r="D30" s="26">
        <v>56256614</v>
      </c>
      <c r="E30" s="27" t="s">
        <v>38</v>
      </c>
      <c r="F30" s="28" t="s">
        <v>39</v>
      </c>
      <c r="G30" s="29">
        <v>100000</v>
      </c>
      <c r="H30" s="30"/>
      <c r="I30" s="31">
        <f t="shared" si="0"/>
        <v>100000</v>
      </c>
    </row>
    <row r="31" spans="1:9" s="1" customFormat="1" ht="14.5" x14ac:dyDescent="0.35">
      <c r="A31" s="15">
        <v>22</v>
      </c>
      <c r="B31" s="337"/>
      <c r="C31" s="25">
        <v>43334</v>
      </c>
      <c r="D31" s="26">
        <v>11202446</v>
      </c>
      <c r="E31" s="27" t="str">
        <f>VLOOKUP(D31,[1]TERCEROS!$A$2:$C$4000,3,FALSE)</f>
        <v>CARLOS EMILIANO MARTINEZ CRISTANCHO</v>
      </c>
      <c r="F31" s="28" t="s">
        <v>39</v>
      </c>
      <c r="G31" s="29">
        <v>15000</v>
      </c>
      <c r="H31" s="30"/>
      <c r="I31" s="31">
        <f t="shared" si="0"/>
        <v>15000</v>
      </c>
    </row>
    <row r="32" spans="1:9" s="1" customFormat="1" ht="14.5" x14ac:dyDescent="0.35">
      <c r="A32" s="23">
        <v>23</v>
      </c>
      <c r="B32" s="337"/>
      <c r="C32" s="25">
        <v>43330</v>
      </c>
      <c r="D32" s="26">
        <v>11202446</v>
      </c>
      <c r="E32" s="27" t="str">
        <f>VLOOKUP(D32,[1]TERCEROS!$A$2:$C$4000,3,FALSE)</f>
        <v>CARLOS EMILIANO MARTINEZ CRISTANCHO</v>
      </c>
      <c r="F32" s="28" t="s">
        <v>39</v>
      </c>
      <c r="G32" s="29">
        <v>30000</v>
      </c>
      <c r="H32" s="30"/>
      <c r="I32" s="31">
        <f t="shared" si="0"/>
        <v>30000</v>
      </c>
    </row>
    <row r="33" spans="1:9" s="1" customFormat="1" ht="14.5" x14ac:dyDescent="0.35">
      <c r="A33" s="23">
        <v>24</v>
      </c>
      <c r="B33" s="337"/>
      <c r="C33" s="25">
        <v>43332</v>
      </c>
      <c r="D33" s="26">
        <v>11202446</v>
      </c>
      <c r="E33" s="27" t="str">
        <f>VLOOKUP(D33,[1]TERCEROS!$A$2:$C$4000,3,FALSE)</f>
        <v>CARLOS EMILIANO MARTINEZ CRISTANCHO</v>
      </c>
      <c r="F33" s="28" t="s">
        <v>39</v>
      </c>
      <c r="G33" s="29">
        <v>30000</v>
      </c>
      <c r="H33" s="30"/>
      <c r="I33" s="31">
        <f t="shared" si="0"/>
        <v>30000</v>
      </c>
    </row>
    <row r="34" spans="1:9" s="1" customFormat="1" ht="14.5" x14ac:dyDescent="0.35">
      <c r="A34" s="23">
        <v>25</v>
      </c>
      <c r="B34" s="337"/>
      <c r="C34" s="25">
        <v>43335</v>
      </c>
      <c r="D34" s="26">
        <v>900754508</v>
      </c>
      <c r="E34" s="27" t="s">
        <v>40</v>
      </c>
      <c r="F34" s="28" t="s">
        <v>41</v>
      </c>
      <c r="G34" s="29">
        <v>142500</v>
      </c>
      <c r="H34" s="30"/>
      <c r="I34" s="31">
        <f t="shared" si="0"/>
        <v>142500</v>
      </c>
    </row>
    <row r="35" spans="1:9" s="1" customFormat="1" ht="14.5" x14ac:dyDescent="0.35">
      <c r="A35" s="23">
        <v>26</v>
      </c>
      <c r="B35" s="337"/>
      <c r="C35" s="25">
        <v>43335</v>
      </c>
      <c r="D35" s="26">
        <v>1032395430</v>
      </c>
      <c r="E35" s="27" t="str">
        <f>VLOOKUP(D35,[1]TERCEROS!$A$2:$C$4000,3,FALSE)</f>
        <v xml:space="preserve">OMAR VILLAMIL </v>
      </c>
      <c r="F35" s="28" t="s">
        <v>42</v>
      </c>
      <c r="G35" s="29">
        <v>130000</v>
      </c>
      <c r="H35" s="30"/>
      <c r="I35" s="31">
        <f t="shared" si="0"/>
        <v>130000</v>
      </c>
    </row>
    <row r="36" spans="1:9" s="1" customFormat="1" ht="14.5" x14ac:dyDescent="0.35">
      <c r="A36" s="23">
        <v>27</v>
      </c>
      <c r="B36" s="337"/>
      <c r="C36" s="25">
        <v>43337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30"/>
      <c r="I36" s="31">
        <f t="shared" si="0"/>
        <v>9700</v>
      </c>
    </row>
    <row r="37" spans="1:9" s="1" customFormat="1" ht="15" thickBot="1" x14ac:dyDescent="0.4">
      <c r="A37" s="23">
        <v>28</v>
      </c>
      <c r="B37" s="337"/>
      <c r="C37" s="25">
        <v>43337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9700</v>
      </c>
      <c r="H37" s="30"/>
      <c r="I37" s="31">
        <f t="shared" si="0"/>
        <v>9700</v>
      </c>
    </row>
    <row r="38" spans="1:9" s="1" customFormat="1" ht="14.5" x14ac:dyDescent="0.35">
      <c r="A38" s="15">
        <v>29</v>
      </c>
      <c r="B38" s="338"/>
      <c r="C38" s="25">
        <v>43337</v>
      </c>
      <c r="D38" s="26">
        <v>900491889</v>
      </c>
      <c r="E38" s="27" t="str">
        <f>VLOOKUP(D38,[1]TERCEROS!$A$2:$C$4000,3,FALSE)</f>
        <v>EDS TERMINAL NEIVA</v>
      </c>
      <c r="F38" s="28" t="s">
        <v>43</v>
      </c>
      <c r="G38" s="29">
        <v>32800</v>
      </c>
      <c r="H38" s="30"/>
      <c r="I38" s="31">
        <f t="shared" si="0"/>
        <v>32800</v>
      </c>
    </row>
    <row r="39" spans="1:9" s="1" customFormat="1" ht="14.5" x14ac:dyDescent="0.35">
      <c r="A39" s="23">
        <v>30</v>
      </c>
      <c r="B39" s="24" t="s">
        <v>44</v>
      </c>
      <c r="C39" s="25">
        <v>43335</v>
      </c>
      <c r="D39" s="26">
        <v>900985940</v>
      </c>
      <c r="E39" s="27" t="str">
        <f>VLOOKUP(D39,[1]TERCEROS!$A$2:$C$4000,3,FALSE)</f>
        <v>OSI FUNZA COMERCIALIZADORA DE GASES</v>
      </c>
      <c r="F39" s="28" t="s">
        <v>45</v>
      </c>
      <c r="G39" s="29">
        <v>322000</v>
      </c>
      <c r="H39" s="30"/>
      <c r="I39" s="31">
        <f t="shared" si="0"/>
        <v>322000</v>
      </c>
    </row>
    <row r="40" spans="1:9" s="1" customFormat="1" ht="14.5" x14ac:dyDescent="0.35">
      <c r="A40" s="23">
        <v>31</v>
      </c>
      <c r="B40" s="339" t="s">
        <v>32</v>
      </c>
      <c r="C40" s="25">
        <v>43335</v>
      </c>
      <c r="D40" s="26">
        <v>900521268</v>
      </c>
      <c r="E40" s="27" t="str">
        <f>VLOOKUP(D40,[1]TERCEROS!$A$2:$C$4000,3,FALSE)</f>
        <v xml:space="preserve">LUBRIFILTERS LA ESPERANZA </v>
      </c>
      <c r="F40" s="28" t="s">
        <v>46</v>
      </c>
      <c r="G40" s="29">
        <v>60000</v>
      </c>
      <c r="H40" s="30"/>
      <c r="I40" s="31">
        <f t="shared" si="0"/>
        <v>60000</v>
      </c>
    </row>
    <row r="41" spans="1:9" s="1" customFormat="1" ht="14.5" x14ac:dyDescent="0.35">
      <c r="A41" s="23">
        <v>32</v>
      </c>
      <c r="B41" s="337"/>
      <c r="C41" s="25">
        <v>43328</v>
      </c>
      <c r="D41" s="26">
        <v>222222222</v>
      </c>
      <c r="E41" s="27" t="str">
        <f>VLOOKUP(D41,[1]TERCEROS!$A$2:$C$4000,3,FALSE)</f>
        <v>CUANTIAS MINIMAS</v>
      </c>
      <c r="F41" s="28" t="s">
        <v>47</v>
      </c>
      <c r="G41" s="29">
        <v>12000</v>
      </c>
      <c r="H41" s="30"/>
      <c r="I41" s="31">
        <f t="shared" si="0"/>
        <v>12000</v>
      </c>
    </row>
    <row r="42" spans="1:9" s="1" customFormat="1" ht="14.5" x14ac:dyDescent="0.35">
      <c r="A42" s="23">
        <v>33</v>
      </c>
      <c r="B42" s="337"/>
      <c r="C42" s="25">
        <v>43275</v>
      </c>
      <c r="D42" s="26">
        <v>20993981</v>
      </c>
      <c r="E42" s="27" t="str">
        <f>VLOOKUP(D42,[1]TERCEROS!$A$2:$C$4000,3,FALSE)</f>
        <v>MARTA LUCIA GOMEZ HILARION</v>
      </c>
      <c r="F42" s="28" t="s">
        <v>48</v>
      </c>
      <c r="G42" s="29">
        <v>6400</v>
      </c>
      <c r="H42" s="30"/>
      <c r="I42" s="31">
        <f t="shared" si="0"/>
        <v>6400</v>
      </c>
    </row>
    <row r="43" spans="1:9" s="1" customFormat="1" ht="14.5" x14ac:dyDescent="0.35">
      <c r="A43" s="23">
        <v>34</v>
      </c>
      <c r="B43" s="338"/>
      <c r="C43" s="25">
        <v>43334</v>
      </c>
      <c r="D43" s="26">
        <v>900491889</v>
      </c>
      <c r="E43" s="27" t="str">
        <f>VLOOKUP(D43,[1]TERCEROS!$A$2:$C$4000,3,FALSE)</f>
        <v>EDS TERMINAL NEIVA</v>
      </c>
      <c r="F43" s="28" t="s">
        <v>34</v>
      </c>
      <c r="G43" s="29">
        <v>20000</v>
      </c>
      <c r="H43" s="30"/>
      <c r="I43" s="31">
        <f t="shared" si="0"/>
        <v>20000</v>
      </c>
    </row>
    <row r="44" spans="1:9" s="1" customFormat="1" ht="15" thickBot="1" x14ac:dyDescent="0.4">
      <c r="A44" s="23">
        <v>35</v>
      </c>
      <c r="B44" s="339" t="s">
        <v>49</v>
      </c>
      <c r="C44" s="25">
        <v>43335</v>
      </c>
      <c r="D44" s="26">
        <v>11449527</v>
      </c>
      <c r="E44" s="27" t="s">
        <v>50</v>
      </c>
      <c r="F44" s="28" t="s">
        <v>51</v>
      </c>
      <c r="G44" s="29">
        <v>227400</v>
      </c>
      <c r="H44" s="30"/>
      <c r="I44" s="31">
        <f t="shared" si="0"/>
        <v>227400</v>
      </c>
    </row>
    <row r="45" spans="1:9" s="1" customFormat="1" ht="14.5" x14ac:dyDescent="0.35">
      <c r="A45" s="15">
        <v>36</v>
      </c>
      <c r="B45" s="338"/>
      <c r="C45" s="25">
        <v>43335</v>
      </c>
      <c r="D45" s="26">
        <v>11449527</v>
      </c>
      <c r="E45" s="27" t="s">
        <v>50</v>
      </c>
      <c r="F45" s="28" t="s">
        <v>51</v>
      </c>
      <c r="G45" s="29">
        <v>31800</v>
      </c>
      <c r="H45" s="30"/>
      <c r="I45" s="31">
        <f t="shared" si="0"/>
        <v>31800</v>
      </c>
    </row>
    <row r="46" spans="1:9" s="1" customFormat="1" ht="14.5" x14ac:dyDescent="0.35">
      <c r="A46" s="23">
        <v>37</v>
      </c>
      <c r="B46" s="24" t="s">
        <v>44</v>
      </c>
      <c r="C46" s="25">
        <v>43330</v>
      </c>
      <c r="D46" s="26">
        <v>11442335</v>
      </c>
      <c r="E46" s="27" t="s">
        <v>52</v>
      </c>
      <c r="F46" s="28" t="s">
        <v>43</v>
      </c>
      <c r="G46" s="29">
        <v>128900</v>
      </c>
      <c r="H46" s="30"/>
      <c r="I46" s="31">
        <f t="shared" si="0"/>
        <v>128900</v>
      </c>
    </row>
    <row r="47" spans="1:9" s="1" customFormat="1" ht="14.5" x14ac:dyDescent="0.35">
      <c r="A47" s="23">
        <v>38</v>
      </c>
      <c r="B47" s="339" t="s">
        <v>53</v>
      </c>
      <c r="C47" s="32">
        <v>43334</v>
      </c>
      <c r="D47" s="26">
        <v>860045752</v>
      </c>
      <c r="E47" s="27" t="str">
        <f>VLOOKUP(D47,[1]TERCEROS!$A$2:$C$4000,3,FALSE)</f>
        <v>AUROS COPIAS SA</v>
      </c>
      <c r="F47" s="28" t="s">
        <v>54</v>
      </c>
      <c r="G47" s="29">
        <v>386125</v>
      </c>
      <c r="H47" s="30"/>
      <c r="I47" s="31">
        <f t="shared" si="0"/>
        <v>386125</v>
      </c>
    </row>
    <row r="48" spans="1:9" s="1" customFormat="1" ht="14.5" x14ac:dyDescent="0.35">
      <c r="A48" s="23">
        <v>39</v>
      </c>
      <c r="B48" s="338"/>
      <c r="C48" s="32">
        <v>43334</v>
      </c>
      <c r="D48" s="26">
        <v>222222222</v>
      </c>
      <c r="E48" s="27" t="str">
        <f>VLOOKUP(D48,[1]TERCEROS!$A$2:$C$4000,3,FALSE)</f>
        <v>CUANTIAS MINIMAS</v>
      </c>
      <c r="F48" s="28" t="s">
        <v>48</v>
      </c>
      <c r="G48" s="29">
        <v>6000</v>
      </c>
      <c r="H48" s="30"/>
      <c r="I48" s="31">
        <f t="shared" si="0"/>
        <v>6000</v>
      </c>
    </row>
    <row r="49" spans="1:9" s="1" customFormat="1" ht="14.5" x14ac:dyDescent="0.35">
      <c r="A49" s="23">
        <v>40</v>
      </c>
      <c r="B49" s="24" t="s">
        <v>55</v>
      </c>
      <c r="C49" s="32">
        <v>43336</v>
      </c>
      <c r="D49" s="26"/>
      <c r="E49" s="27" t="s">
        <v>56</v>
      </c>
      <c r="F49" s="28" t="s">
        <v>57</v>
      </c>
      <c r="G49" s="29">
        <v>300000</v>
      </c>
      <c r="H49" s="30"/>
      <c r="I49" s="31">
        <f t="shared" si="0"/>
        <v>300000</v>
      </c>
    </row>
    <row r="50" spans="1:9" s="1" customFormat="1" ht="14.5" x14ac:dyDescent="0.35">
      <c r="A50" s="23">
        <v>41</v>
      </c>
      <c r="B50" s="85" t="s">
        <v>32</v>
      </c>
      <c r="C50" s="32">
        <v>43337</v>
      </c>
      <c r="D50" s="26">
        <v>3111416</v>
      </c>
      <c r="E50" s="27" t="s">
        <v>64</v>
      </c>
      <c r="F50" s="28" t="s">
        <v>65</v>
      </c>
      <c r="G50" s="29">
        <v>260000</v>
      </c>
      <c r="H50" s="30"/>
      <c r="I50" s="31">
        <f t="shared" si="0"/>
        <v>260000</v>
      </c>
    </row>
    <row r="51" spans="1:9" s="1" customFormat="1" ht="15" thickBot="1" x14ac:dyDescent="0.4">
      <c r="A51" s="23">
        <v>42</v>
      </c>
      <c r="B51" s="81" t="s">
        <v>55</v>
      </c>
      <c r="C51" s="32">
        <v>43337</v>
      </c>
      <c r="D51" s="26">
        <v>222222222</v>
      </c>
      <c r="E51" s="27" t="str">
        <f>VLOOKUP(D51,[1]TERCEROS!$A$2:$C$4000,3,FALSE)</f>
        <v>CUANTIAS MINIMAS</v>
      </c>
      <c r="F51" s="28" t="s">
        <v>66</v>
      </c>
      <c r="G51" s="29">
        <v>100000</v>
      </c>
      <c r="H51" s="30"/>
      <c r="I51" s="31">
        <f t="shared" si="0"/>
        <v>100000</v>
      </c>
    </row>
    <row r="52" spans="1:9" s="1" customFormat="1" ht="14.5" x14ac:dyDescent="0.35">
      <c r="A52" s="15">
        <v>43</v>
      </c>
      <c r="B52" s="337" t="s">
        <v>32</v>
      </c>
      <c r="C52" s="32">
        <v>43335</v>
      </c>
      <c r="D52" s="26">
        <v>51874579</v>
      </c>
      <c r="E52" s="27" t="s">
        <v>67</v>
      </c>
      <c r="F52" s="28" t="s">
        <v>68</v>
      </c>
      <c r="G52" s="29">
        <v>6000</v>
      </c>
      <c r="H52" s="30"/>
      <c r="I52" s="31">
        <f t="shared" si="0"/>
        <v>6000</v>
      </c>
    </row>
    <row r="53" spans="1:9" s="1" customFormat="1" ht="14.5" x14ac:dyDescent="0.35">
      <c r="A53" s="23">
        <v>44</v>
      </c>
      <c r="B53" s="337"/>
      <c r="C53" s="32">
        <v>43337</v>
      </c>
      <c r="D53" s="26">
        <v>800091165</v>
      </c>
      <c r="E53" s="27" t="s">
        <v>69</v>
      </c>
      <c r="F53" s="28" t="s">
        <v>35</v>
      </c>
      <c r="G53" s="29">
        <v>6000</v>
      </c>
      <c r="H53" s="30"/>
      <c r="I53" s="31">
        <f t="shared" si="0"/>
        <v>6000</v>
      </c>
    </row>
    <row r="54" spans="1:9" s="1" customFormat="1" ht="14.5" x14ac:dyDescent="0.35">
      <c r="A54" s="23">
        <v>45</v>
      </c>
      <c r="B54" s="337"/>
      <c r="C54" s="32">
        <v>43336</v>
      </c>
      <c r="D54" s="26">
        <v>800091165</v>
      </c>
      <c r="E54" s="27" t="s">
        <v>69</v>
      </c>
      <c r="F54" s="28" t="s">
        <v>35</v>
      </c>
      <c r="G54" s="29">
        <v>6000</v>
      </c>
      <c r="H54" s="30"/>
      <c r="I54" s="31">
        <f t="shared" si="0"/>
        <v>6000</v>
      </c>
    </row>
    <row r="55" spans="1:9" s="1" customFormat="1" ht="14.5" x14ac:dyDescent="0.35">
      <c r="A55" s="23">
        <v>46</v>
      </c>
      <c r="B55" s="337"/>
      <c r="C55" s="32">
        <v>43337</v>
      </c>
      <c r="D55" s="26">
        <v>800091165</v>
      </c>
      <c r="E55" s="27" t="s">
        <v>69</v>
      </c>
      <c r="F55" s="28" t="s">
        <v>35</v>
      </c>
      <c r="G55" s="29">
        <v>6000</v>
      </c>
      <c r="H55" s="30"/>
      <c r="I55" s="31">
        <f t="shared" si="0"/>
        <v>6000</v>
      </c>
    </row>
    <row r="56" spans="1:9" s="1" customFormat="1" ht="14.5" x14ac:dyDescent="0.35">
      <c r="A56" s="23">
        <v>47</v>
      </c>
      <c r="B56" s="337"/>
      <c r="C56" s="32">
        <v>43339</v>
      </c>
      <c r="D56" s="26">
        <v>800091165</v>
      </c>
      <c r="E56" s="27" t="s">
        <v>69</v>
      </c>
      <c r="F56" s="28" t="s">
        <v>35</v>
      </c>
      <c r="G56" s="29">
        <v>6000</v>
      </c>
      <c r="H56" s="30"/>
      <c r="I56" s="31">
        <f t="shared" si="0"/>
        <v>6000</v>
      </c>
    </row>
    <row r="57" spans="1:9" s="1" customFormat="1" ht="14.5" x14ac:dyDescent="0.35">
      <c r="A57" s="23">
        <v>48</v>
      </c>
      <c r="B57" s="337"/>
      <c r="C57" s="32">
        <v>43337</v>
      </c>
      <c r="D57" s="26">
        <v>800091165</v>
      </c>
      <c r="E57" s="27" t="s">
        <v>69</v>
      </c>
      <c r="F57" s="28" t="s">
        <v>35</v>
      </c>
      <c r="G57" s="29">
        <v>6000</v>
      </c>
      <c r="H57" s="30"/>
      <c r="I57" s="31">
        <f t="shared" si="0"/>
        <v>6000</v>
      </c>
    </row>
    <row r="58" spans="1:9" s="1" customFormat="1" ht="15" thickBot="1" x14ac:dyDescent="0.4">
      <c r="A58" s="23">
        <v>49</v>
      </c>
      <c r="B58" s="337"/>
      <c r="C58" s="32">
        <v>43338</v>
      </c>
      <c r="D58" s="26">
        <v>830054076</v>
      </c>
      <c r="E58" s="27" t="str">
        <f>VLOOKUP(D58,[1]TERCEROS!$A$2:$C$4000,3,FALSE)</f>
        <v>FIDEICOMISOS SOCIEDAD FIDUCIARIA</v>
      </c>
      <c r="F58" s="28" t="s">
        <v>33</v>
      </c>
      <c r="G58" s="29">
        <v>9700</v>
      </c>
      <c r="H58" s="30"/>
      <c r="I58" s="31">
        <f t="shared" si="0"/>
        <v>9700</v>
      </c>
    </row>
    <row r="59" spans="1:9" s="1" customFormat="1" ht="14.5" x14ac:dyDescent="0.35">
      <c r="A59" s="15">
        <v>50</v>
      </c>
      <c r="B59" s="337"/>
      <c r="C59" s="32">
        <v>43339</v>
      </c>
      <c r="D59" s="26">
        <v>830054076</v>
      </c>
      <c r="E59" s="27" t="str">
        <f>VLOOKUP(D59,[1]TERCEROS!$A$2:$C$4000,3,FALSE)</f>
        <v>FIDEICOMISOS SOCIEDAD FIDUCIARIA</v>
      </c>
      <c r="F59" s="28" t="s">
        <v>33</v>
      </c>
      <c r="G59" s="29">
        <v>9700</v>
      </c>
      <c r="H59" s="30"/>
      <c r="I59" s="31">
        <f t="shared" si="0"/>
        <v>9700</v>
      </c>
    </row>
    <row r="60" spans="1:9" s="1" customFormat="1" ht="14.5" x14ac:dyDescent="0.35">
      <c r="A60" s="23">
        <v>51</v>
      </c>
      <c r="B60" s="337"/>
      <c r="C60" s="32">
        <v>43338</v>
      </c>
      <c r="D60" s="26">
        <v>830054076</v>
      </c>
      <c r="E60" s="27" t="str">
        <f>VLOOKUP(D60,[1]TERCEROS!$A$2:$C$4000,3,FALSE)</f>
        <v>FIDEICOMISOS SOCIEDAD FIDUCIARIA</v>
      </c>
      <c r="F60" s="28" t="s">
        <v>33</v>
      </c>
      <c r="G60" s="29">
        <v>9700</v>
      </c>
      <c r="H60" s="30"/>
      <c r="I60" s="31">
        <f t="shared" si="0"/>
        <v>9700</v>
      </c>
    </row>
    <row r="61" spans="1:9" s="1" customFormat="1" ht="14.5" x14ac:dyDescent="0.35">
      <c r="A61" s="23">
        <v>52</v>
      </c>
      <c r="B61" s="337"/>
      <c r="C61" s="32">
        <v>43336</v>
      </c>
      <c r="D61" s="26">
        <v>51874579</v>
      </c>
      <c r="E61" s="27" t="s">
        <v>67</v>
      </c>
      <c r="F61" s="28" t="s">
        <v>70</v>
      </c>
      <c r="G61" s="29">
        <v>6000</v>
      </c>
      <c r="H61" s="30"/>
      <c r="I61" s="31">
        <f t="shared" si="0"/>
        <v>6000</v>
      </c>
    </row>
    <row r="62" spans="1:9" s="1" customFormat="1" ht="14.5" x14ac:dyDescent="0.35">
      <c r="A62" s="23">
        <v>53</v>
      </c>
      <c r="B62" s="337"/>
      <c r="C62" s="32">
        <v>43338</v>
      </c>
      <c r="D62" s="26">
        <v>4047738</v>
      </c>
      <c r="E62" s="27" t="s">
        <v>71</v>
      </c>
      <c r="F62" s="28" t="s">
        <v>72</v>
      </c>
      <c r="G62" s="29">
        <v>12000</v>
      </c>
      <c r="H62" s="30"/>
      <c r="I62" s="31">
        <f t="shared" si="0"/>
        <v>12000</v>
      </c>
    </row>
    <row r="63" spans="1:9" s="1" customFormat="1" ht="14.5" x14ac:dyDescent="0.35">
      <c r="A63" s="23">
        <v>54</v>
      </c>
      <c r="B63" s="337"/>
      <c r="C63" s="32">
        <v>43337</v>
      </c>
      <c r="D63" s="26">
        <v>222222222</v>
      </c>
      <c r="E63" s="27" t="str">
        <f>VLOOKUP(D63,[1]TERCEROS!$A$2:$C$4000,3,FALSE)</f>
        <v>CUANTIAS MINIMAS</v>
      </c>
      <c r="F63" s="28" t="s">
        <v>73</v>
      </c>
      <c r="G63" s="29">
        <v>10000</v>
      </c>
      <c r="H63" s="30"/>
      <c r="I63" s="31">
        <f t="shared" si="0"/>
        <v>10000</v>
      </c>
    </row>
    <row r="64" spans="1:9" s="1" customFormat="1" ht="14.5" x14ac:dyDescent="0.35">
      <c r="A64" s="23">
        <v>55</v>
      </c>
      <c r="B64" s="337"/>
      <c r="C64" s="32">
        <v>43336</v>
      </c>
      <c r="D64" s="26">
        <v>222222222</v>
      </c>
      <c r="E64" s="27" t="str">
        <f>VLOOKUP(D64,[1]TERCEROS!$A$2:$C$4000,3,FALSE)</f>
        <v>CUANTIAS MINIMAS</v>
      </c>
      <c r="F64" s="28" t="s">
        <v>74</v>
      </c>
      <c r="G64" s="29">
        <v>150000</v>
      </c>
      <c r="H64" s="30"/>
      <c r="I64" s="31">
        <f t="shared" si="0"/>
        <v>150000</v>
      </c>
    </row>
    <row r="65" spans="1:37" s="1" customFormat="1" ht="15" thickBot="1" x14ac:dyDescent="0.4">
      <c r="A65" s="23">
        <v>56</v>
      </c>
      <c r="B65" s="337"/>
      <c r="C65" s="32">
        <v>43338</v>
      </c>
      <c r="D65" s="26">
        <v>830054076</v>
      </c>
      <c r="E65" s="27" t="str">
        <f>VLOOKUP(D65,[1]TERCEROS!$A$2:$C$4000,3,FALSE)</f>
        <v>FIDEICOMISOS SOCIEDAD FIDUCIARIA</v>
      </c>
      <c r="F65" s="28" t="s">
        <v>33</v>
      </c>
      <c r="G65" s="29">
        <v>9700</v>
      </c>
      <c r="H65" s="30"/>
      <c r="I65" s="31">
        <f t="shared" si="0"/>
        <v>9700</v>
      </c>
    </row>
    <row r="66" spans="1:37" s="1" customFormat="1" ht="14.5" x14ac:dyDescent="0.35">
      <c r="A66" s="15">
        <v>57</v>
      </c>
      <c r="B66" s="337"/>
      <c r="C66" s="32">
        <v>43338</v>
      </c>
      <c r="D66" s="26">
        <v>830054076</v>
      </c>
      <c r="E66" s="27" t="str">
        <f>VLOOKUP(D66,[1]TERCEROS!$A$2:$C$4000,3,FALSE)</f>
        <v>FIDEICOMISOS SOCIEDAD FIDUCIARIA</v>
      </c>
      <c r="F66" s="28" t="s">
        <v>33</v>
      </c>
      <c r="G66" s="29">
        <v>9700</v>
      </c>
      <c r="H66" s="30"/>
      <c r="I66" s="31">
        <f t="shared" si="0"/>
        <v>9700</v>
      </c>
    </row>
    <row r="67" spans="1:37" s="1" customFormat="1" ht="14.5" x14ac:dyDescent="0.35">
      <c r="A67" s="23">
        <v>58</v>
      </c>
      <c r="B67" s="337"/>
      <c r="C67" s="32">
        <v>43335</v>
      </c>
      <c r="D67" s="26">
        <v>830054076</v>
      </c>
      <c r="E67" s="27" t="s">
        <v>75</v>
      </c>
      <c r="F67" s="28" t="s">
        <v>33</v>
      </c>
      <c r="G67" s="29">
        <v>9700</v>
      </c>
      <c r="H67" s="30"/>
      <c r="I67" s="31">
        <f t="shared" si="0"/>
        <v>9700</v>
      </c>
    </row>
    <row r="68" spans="1:37" s="1" customFormat="1" ht="18.75" customHeight="1" x14ac:dyDescent="0.35">
      <c r="A68" s="23">
        <v>59</v>
      </c>
      <c r="B68" s="337"/>
      <c r="C68" s="32">
        <v>43335</v>
      </c>
      <c r="D68" s="26">
        <v>830054076</v>
      </c>
      <c r="E68" s="27" t="str">
        <f>VLOOKUP(D68,[1]TERCEROS!$A$2:$C$4000,3,FALSE)</f>
        <v>FIDEICOMISOS SOCIEDAD FIDUCIARIA</v>
      </c>
      <c r="F68" s="28" t="s">
        <v>33</v>
      </c>
      <c r="G68" s="29">
        <v>9700</v>
      </c>
      <c r="H68" s="30"/>
      <c r="I68" s="31">
        <f t="shared" si="0"/>
        <v>9700</v>
      </c>
    </row>
    <row r="69" spans="1:37" s="1" customFormat="1" ht="18.75" customHeight="1" x14ac:dyDescent="0.35">
      <c r="A69" s="23">
        <v>60</v>
      </c>
      <c r="B69" s="337"/>
      <c r="C69" s="32">
        <v>43336</v>
      </c>
      <c r="D69" s="26">
        <v>830054076</v>
      </c>
      <c r="E69" s="27" t="str">
        <f>VLOOKUP(D69,[1]TERCEROS!$A$2:$C$4000,3,FALSE)</f>
        <v>FIDEICOMISOS SOCIEDAD FIDUCIARIA</v>
      </c>
      <c r="F69" s="28" t="s">
        <v>33</v>
      </c>
      <c r="G69" s="29">
        <v>9700</v>
      </c>
      <c r="H69" s="88"/>
      <c r="I69" s="31">
        <f t="shared" si="0"/>
        <v>9700</v>
      </c>
    </row>
    <row r="70" spans="1:37" s="1" customFormat="1" ht="18.75" customHeight="1" thickBot="1" x14ac:dyDescent="0.4">
      <c r="A70" s="23">
        <v>61</v>
      </c>
      <c r="B70" s="337"/>
      <c r="C70" s="90">
        <v>43336</v>
      </c>
      <c r="D70" s="91">
        <v>830054076</v>
      </c>
      <c r="E70" s="92" t="str">
        <f>VLOOKUP(D70,[1]TERCEROS!$A$2:$C$4000,3,FALSE)</f>
        <v>FIDEICOMISOS SOCIEDAD FIDUCIARIA</v>
      </c>
      <c r="F70" s="86" t="s">
        <v>33</v>
      </c>
      <c r="G70" s="87">
        <v>9700</v>
      </c>
      <c r="H70" s="88"/>
      <c r="I70" s="89">
        <f t="shared" si="0"/>
        <v>9700</v>
      </c>
    </row>
    <row r="71" spans="1:37" s="1" customFormat="1" ht="18.75" customHeight="1" thickBot="1" x14ac:dyDescent="0.4">
      <c r="A71" s="83">
        <v>62</v>
      </c>
      <c r="B71" s="9" t="s">
        <v>55</v>
      </c>
      <c r="C71" s="95">
        <v>43335</v>
      </c>
      <c r="D71" s="96">
        <v>22222222</v>
      </c>
      <c r="E71" s="97" t="s">
        <v>76</v>
      </c>
      <c r="F71" s="98" t="s">
        <v>77</v>
      </c>
      <c r="G71" s="99">
        <v>100000</v>
      </c>
      <c r="H71" s="100"/>
      <c r="I71" s="101">
        <f t="shared" si="0"/>
        <v>100000</v>
      </c>
    </row>
    <row r="72" spans="1:37" s="2" customFormat="1" ht="15.75" customHeight="1" thickBot="1" x14ac:dyDescent="0.4">
      <c r="A72" s="335">
        <v>43336</v>
      </c>
      <c r="B72" s="329"/>
      <c r="C72" s="329"/>
      <c r="D72" s="329"/>
      <c r="E72" s="330"/>
      <c r="F72" s="93" t="s">
        <v>24</v>
      </c>
      <c r="G72" s="94">
        <f>SUM(G10:G71)</f>
        <v>2992625</v>
      </c>
      <c r="H72" s="94"/>
      <c r="I72" s="94">
        <f>SUM(I10:I71)</f>
        <v>2992625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s="2" customFormat="1" ht="15" customHeight="1" x14ac:dyDescent="0.35">
      <c r="A73" s="300" t="s">
        <v>26</v>
      </c>
      <c r="B73" s="301"/>
      <c r="C73" s="301"/>
      <c r="D73" s="306" t="s">
        <v>58</v>
      </c>
      <c r="E73" s="307"/>
      <c r="F73" s="312"/>
      <c r="G73" s="315" t="s">
        <v>16</v>
      </c>
      <c r="H73" s="316"/>
      <c r="I73" s="35">
        <v>3000000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s="2" customFormat="1" ht="15" customHeight="1" x14ac:dyDescent="0.35">
      <c r="A74" s="302"/>
      <c r="B74" s="303"/>
      <c r="C74" s="303"/>
      <c r="D74" s="308"/>
      <c r="E74" s="309"/>
      <c r="F74" s="313"/>
      <c r="G74" s="317" t="s">
        <v>17</v>
      </c>
      <c r="H74" s="318"/>
      <c r="I74" s="36">
        <f>+I73-I72</f>
        <v>7375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s="1" customFormat="1" ht="15.75" customHeight="1" thickBot="1" x14ac:dyDescent="0.4">
      <c r="A75" s="304"/>
      <c r="B75" s="305"/>
      <c r="C75" s="305"/>
      <c r="D75" s="310"/>
      <c r="E75" s="311"/>
      <c r="F75" s="314"/>
      <c r="G75" s="289" t="s">
        <v>5</v>
      </c>
      <c r="H75" s="290"/>
      <c r="I75" s="37">
        <f>+I73-I74</f>
        <v>2992625</v>
      </c>
    </row>
    <row r="76" spans="1:37" s="1" customFormat="1" ht="15" thickBot="1" x14ac:dyDescent="0.4">
      <c r="A76" s="291" t="s">
        <v>25</v>
      </c>
      <c r="B76" s="292"/>
      <c r="C76" s="292"/>
      <c r="D76" s="293"/>
      <c r="E76" s="38"/>
      <c r="F76" s="38"/>
      <c r="G76" s="38"/>
      <c r="H76" s="38"/>
      <c r="I76" s="39"/>
    </row>
    <row r="77" spans="1:37" s="1" customFormat="1" ht="15" thickBot="1" x14ac:dyDescent="0.4">
      <c r="A77" s="40"/>
      <c r="B77" s="41" t="s">
        <v>6</v>
      </c>
      <c r="C77" s="42">
        <f>D94</f>
        <v>2400</v>
      </c>
      <c r="D77" s="39"/>
      <c r="E77" s="43">
        <f>C77+C81+I72</f>
        <v>3000025</v>
      </c>
      <c r="F77" s="43"/>
      <c r="G77" s="38"/>
      <c r="H77" s="38"/>
      <c r="I77" s="44"/>
    </row>
    <row r="78" spans="1:37" s="1" customFormat="1" ht="15" thickBot="1" x14ac:dyDescent="0.4">
      <c r="A78" s="40"/>
      <c r="B78" s="41" t="s">
        <v>78</v>
      </c>
      <c r="C78" s="42">
        <v>5000</v>
      </c>
      <c r="D78" s="39"/>
      <c r="E78" s="43"/>
      <c r="F78" s="43"/>
      <c r="G78" s="38"/>
      <c r="H78" s="38"/>
      <c r="I78" s="44"/>
    </row>
    <row r="79" spans="1:37" s="1" customFormat="1" ht="15" thickBot="1" x14ac:dyDescent="0.4">
      <c r="A79" s="40"/>
      <c r="B79" s="41"/>
      <c r="C79" s="45"/>
      <c r="D79" s="39"/>
      <c r="E79" s="43">
        <f>+E77-I73</f>
        <v>25</v>
      </c>
      <c r="F79" s="38"/>
      <c r="G79" s="38"/>
      <c r="H79" s="38"/>
      <c r="I79" s="39"/>
    </row>
    <row r="80" spans="1:37" s="1" customFormat="1" ht="15" thickBot="1" x14ac:dyDescent="0.4">
      <c r="A80" s="40"/>
      <c r="B80" s="46"/>
      <c r="C80" s="45"/>
      <c r="D80" s="39"/>
      <c r="E80" s="43"/>
      <c r="F80" s="38"/>
      <c r="G80" s="38"/>
      <c r="H80" s="38"/>
      <c r="I80" s="39"/>
    </row>
    <row r="81" spans="1:37" s="1" customFormat="1" ht="15" thickBot="1" x14ac:dyDescent="0.4">
      <c r="A81" s="40"/>
      <c r="B81" s="47" t="s">
        <v>7</v>
      </c>
      <c r="C81" s="45">
        <f>SUM(C78:C80)</f>
        <v>5000</v>
      </c>
      <c r="D81" s="39"/>
      <c r="E81" s="48"/>
      <c r="F81" s="48"/>
      <c r="G81" s="48"/>
      <c r="H81" s="48"/>
      <c r="I81" s="49"/>
    </row>
    <row r="82" spans="1:37" s="1" customFormat="1" ht="15" thickBot="1" x14ac:dyDescent="0.4">
      <c r="A82" s="40"/>
      <c r="B82" s="50"/>
      <c r="C82" s="51"/>
      <c r="D82" s="39"/>
      <c r="E82" s="48"/>
      <c r="F82" s="48"/>
      <c r="G82" s="48"/>
      <c r="H82" s="48"/>
      <c r="I82" s="49"/>
    </row>
    <row r="83" spans="1:37" s="1" customFormat="1" ht="15" thickBot="1" x14ac:dyDescent="0.4">
      <c r="A83" s="40"/>
      <c r="B83" s="52"/>
      <c r="C83" s="53" t="s">
        <v>11</v>
      </c>
      <c r="D83" s="54" t="s">
        <v>4</v>
      </c>
      <c r="E83" s="38"/>
      <c r="F83" s="55"/>
      <c r="G83" s="38"/>
      <c r="H83" s="38"/>
      <c r="I83" s="39"/>
    </row>
    <row r="84" spans="1:37" s="1" customFormat="1" ht="14.5" x14ac:dyDescent="0.35">
      <c r="A84" s="40"/>
      <c r="B84" s="56"/>
      <c r="C84" s="57">
        <v>50000</v>
      </c>
      <c r="D84" s="58">
        <f t="shared" ref="D84:D93" si="1">+C84*B84</f>
        <v>0</v>
      </c>
      <c r="E84" s="59" t="s">
        <v>29</v>
      </c>
      <c r="F84" s="60" t="s">
        <v>27</v>
      </c>
      <c r="G84" s="294" t="s">
        <v>28</v>
      </c>
      <c r="H84" s="294"/>
      <c r="I84" s="295"/>
    </row>
    <row r="85" spans="1:37" s="5" customFormat="1" ht="15" customHeight="1" x14ac:dyDescent="0.35">
      <c r="A85" s="40"/>
      <c r="B85" s="62"/>
      <c r="C85" s="63">
        <v>20000</v>
      </c>
      <c r="D85" s="58">
        <f t="shared" si="1"/>
        <v>0</v>
      </c>
      <c r="E85" s="64" t="s">
        <v>19</v>
      </c>
      <c r="F85" s="64" t="s">
        <v>20</v>
      </c>
      <c r="G85" s="296" t="s">
        <v>21</v>
      </c>
      <c r="H85" s="296"/>
      <c r="I85" s="29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s="5" customFormat="1" ht="15" customHeight="1" x14ac:dyDescent="0.35">
      <c r="A86" s="40"/>
      <c r="B86" s="62"/>
      <c r="C86" s="63">
        <v>10000</v>
      </c>
      <c r="D86" s="58">
        <f t="shared" si="1"/>
        <v>0</v>
      </c>
      <c r="E86" s="66" t="s">
        <v>79</v>
      </c>
      <c r="F86" s="66" t="s">
        <v>80</v>
      </c>
      <c r="G86" s="298" t="s">
        <v>81</v>
      </c>
      <c r="H86" s="298"/>
      <c r="I86" s="29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s="5" customFormat="1" ht="15" customHeight="1" x14ac:dyDescent="0.35">
      <c r="A87" s="40"/>
      <c r="B87" s="62"/>
      <c r="C87" s="63">
        <v>5000</v>
      </c>
      <c r="D87" s="58">
        <f t="shared" si="1"/>
        <v>0</v>
      </c>
      <c r="E87" s="38" t="s">
        <v>0</v>
      </c>
      <c r="F87" s="38"/>
      <c r="G87" s="38"/>
      <c r="H87" s="38"/>
      <c r="I87" s="3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s="5" customFormat="1" ht="15" customHeight="1" x14ac:dyDescent="0.35">
      <c r="A88" s="40"/>
      <c r="B88" s="62"/>
      <c r="C88" s="63">
        <v>2000</v>
      </c>
      <c r="D88" s="58">
        <f t="shared" si="1"/>
        <v>0</v>
      </c>
      <c r="E88" s="38"/>
      <c r="F88" s="38" t="s">
        <v>8</v>
      </c>
      <c r="G88" s="38"/>
      <c r="H88" s="38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5" customFormat="1" ht="15" customHeight="1" x14ac:dyDescent="0.35">
      <c r="A89" s="40"/>
      <c r="B89" s="62">
        <v>1</v>
      </c>
      <c r="C89" s="63">
        <v>1000</v>
      </c>
      <c r="D89" s="58">
        <f t="shared" si="1"/>
        <v>1000</v>
      </c>
      <c r="E89" s="38"/>
      <c r="F89" s="38"/>
      <c r="G89" s="38"/>
      <c r="H89" s="38"/>
      <c r="I89" s="3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s="1" customFormat="1" ht="15" customHeight="1" x14ac:dyDescent="0.35">
      <c r="A90" s="40"/>
      <c r="B90" s="62">
        <v>2</v>
      </c>
      <c r="C90" s="63">
        <v>500</v>
      </c>
      <c r="D90" s="58">
        <f t="shared" si="1"/>
        <v>1000</v>
      </c>
      <c r="E90" s="38"/>
      <c r="F90" s="38"/>
      <c r="G90" s="38"/>
      <c r="H90" s="38"/>
      <c r="I90" s="39"/>
    </row>
    <row r="91" spans="1:37" s="1" customFormat="1" ht="15" customHeight="1" x14ac:dyDescent="0.35">
      <c r="A91" s="40"/>
      <c r="B91" s="62">
        <v>2</v>
      </c>
      <c r="C91" s="63">
        <v>200</v>
      </c>
      <c r="D91" s="58">
        <f t="shared" si="1"/>
        <v>400</v>
      </c>
      <c r="E91" s="38"/>
      <c r="F91" s="38"/>
      <c r="G91" s="38"/>
      <c r="H91" s="38"/>
      <c r="I91" s="39"/>
    </row>
    <row r="92" spans="1:37" s="1" customFormat="1" ht="15" customHeight="1" x14ac:dyDescent="0.35">
      <c r="A92" s="40"/>
      <c r="B92" s="62"/>
      <c r="C92" s="63">
        <v>100</v>
      </c>
      <c r="D92" s="58">
        <f>+C92*B92</f>
        <v>0</v>
      </c>
      <c r="E92" s="38"/>
      <c r="F92" s="38"/>
      <c r="G92" s="38"/>
      <c r="H92" s="38"/>
      <c r="I92" s="39"/>
    </row>
    <row r="93" spans="1:37" s="5" customFormat="1" ht="15" customHeight="1" thickBot="1" x14ac:dyDescent="0.4">
      <c r="A93" s="40"/>
      <c r="B93" s="68"/>
      <c r="C93" s="69">
        <v>50</v>
      </c>
      <c r="D93" s="58">
        <f t="shared" si="1"/>
        <v>0</v>
      </c>
      <c r="E93" s="38"/>
      <c r="F93" s="38"/>
      <c r="G93" s="38"/>
      <c r="H93" s="38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s="1" customFormat="1" ht="15" customHeight="1" thickBot="1" x14ac:dyDescent="0.4">
      <c r="A94" s="40"/>
      <c r="B94" s="59"/>
      <c r="C94" s="70"/>
      <c r="D94" s="71">
        <f>SUM(D84:D93)</f>
        <v>2400</v>
      </c>
      <c r="E94" s="38"/>
      <c r="F94" s="38"/>
      <c r="G94" s="38"/>
      <c r="H94" s="38"/>
      <c r="I94" s="39"/>
    </row>
    <row r="95" spans="1:37" s="5" customFormat="1" ht="15" customHeight="1" thickBot="1" x14ac:dyDescent="0.4">
      <c r="A95" s="72"/>
      <c r="B95" s="73"/>
      <c r="C95" s="74"/>
      <c r="D95" s="75"/>
      <c r="E95" s="76"/>
      <c r="F95" s="76"/>
      <c r="G95" s="76"/>
      <c r="H95" s="76"/>
      <c r="I95" s="7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s="5" customFormat="1" ht="22.5" customHeight="1" x14ac:dyDescent="0.35">
      <c r="A96" s="1"/>
      <c r="B96"/>
      <c r="C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s="3" customFormat="1" ht="22.5" customHeight="1" x14ac:dyDescent="0.35">
      <c r="A97"/>
      <c r="B97"/>
      <c r="C97" s="6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s="3" customFormat="1" ht="22.5" customHeight="1" x14ac:dyDescent="0.35">
      <c r="A98"/>
      <c r="B98"/>
      <c r="C98" s="6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s="3" customFormat="1" ht="22.5" customHeight="1" x14ac:dyDescent="0.35">
      <c r="A99"/>
      <c r="B99"/>
      <c r="C99" s="6"/>
      <c r="D99" s="7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</sheetData>
  <mergeCells count="25">
    <mergeCell ref="A7:B7"/>
    <mergeCell ref="C7:I7"/>
    <mergeCell ref="A8:I8"/>
    <mergeCell ref="A72:E72"/>
    <mergeCell ref="B10:B38"/>
    <mergeCell ref="B40:B43"/>
    <mergeCell ref="B44:B45"/>
    <mergeCell ref="B47:B48"/>
    <mergeCell ref="B52:B70"/>
    <mergeCell ref="D73:E75"/>
    <mergeCell ref="G85:I85"/>
    <mergeCell ref="G86:I86"/>
    <mergeCell ref="G84:I84"/>
    <mergeCell ref="G1:I2"/>
    <mergeCell ref="G3:I4"/>
    <mergeCell ref="G5:I6"/>
    <mergeCell ref="C1:F3"/>
    <mergeCell ref="C4:F6"/>
    <mergeCell ref="F73:F75"/>
    <mergeCell ref="G73:H73"/>
    <mergeCell ref="G74:H74"/>
    <mergeCell ref="G75:H75"/>
    <mergeCell ref="A76:D76"/>
    <mergeCell ref="A73:C75"/>
    <mergeCell ref="A1:B6"/>
  </mergeCells>
  <pageMargins left="0.70866141732283472" right="0.32" top="0.44" bottom="0.57999999999999996" header="0.31496062992125984" footer="0.31496062992125984"/>
  <pageSetup scale="5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Option Button 1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Option Button 1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6" name="Check Box 19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7" name="Check Box 20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9"/>
  <sheetViews>
    <sheetView showGridLines="0" topLeftCell="B1" workbookViewId="0">
      <selection activeCell="I45" sqref="A1:I45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43426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8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8" t="str">
        <f>IF(K14=1,"IVA","TRM")</f>
        <v>IVA</v>
      </c>
      <c r="I9" s="14" t="s">
        <v>4</v>
      </c>
    </row>
    <row r="10" spans="1:12" s="1" customFormat="1" ht="14.5" x14ac:dyDescent="0.35">
      <c r="A10" s="82">
        <v>1</v>
      </c>
      <c r="B10" s="340" t="s">
        <v>98</v>
      </c>
      <c r="C10" s="16">
        <v>43419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11700</v>
      </c>
      <c r="H10" s="21"/>
      <c r="I10" s="22">
        <f>IF($K$14=1,G10+H10,G10*H10)</f>
        <v>11700</v>
      </c>
    </row>
    <row r="11" spans="1:12" s="1" customFormat="1" ht="14.5" x14ac:dyDescent="0.35">
      <c r="A11" s="83">
        <v>2</v>
      </c>
      <c r="B11" s="341"/>
      <c r="C11" s="25">
        <v>43421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30"/>
      <c r="I11" s="31">
        <f>IF($K$14=1,G11+H11,G11*H11)</f>
        <v>9700</v>
      </c>
    </row>
    <row r="12" spans="1:12" s="1" customFormat="1" ht="14.5" x14ac:dyDescent="0.35">
      <c r="A12" s="83">
        <v>3</v>
      </c>
      <c r="B12" s="341"/>
      <c r="C12" s="25">
        <v>43421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30"/>
      <c r="I12" s="31">
        <f t="shared" ref="I12:I21" si="0">IF($K$14=1,G12+H12,G12*H12)</f>
        <v>9700</v>
      </c>
    </row>
    <row r="13" spans="1:12" s="1" customFormat="1" ht="14.5" x14ac:dyDescent="0.35">
      <c r="A13" s="83">
        <v>4</v>
      </c>
      <c r="B13" s="341"/>
      <c r="C13" s="25">
        <v>43422</v>
      </c>
      <c r="D13" s="26">
        <v>1072655064</v>
      </c>
      <c r="E13" s="27" t="s">
        <v>507</v>
      </c>
      <c r="F13" s="28" t="s">
        <v>508</v>
      </c>
      <c r="G13" s="29">
        <v>443800</v>
      </c>
      <c r="H13" s="30"/>
      <c r="I13" s="31">
        <f t="shared" si="0"/>
        <v>443800</v>
      </c>
    </row>
    <row r="14" spans="1:12" s="1" customFormat="1" ht="15" thickBot="1" x14ac:dyDescent="0.4">
      <c r="A14" s="83">
        <v>5</v>
      </c>
      <c r="B14" s="341"/>
      <c r="C14" s="25">
        <v>43421</v>
      </c>
      <c r="D14" s="26">
        <v>52820243</v>
      </c>
      <c r="E14" s="27" t="str">
        <f>VLOOKUP(D14,[1]TERCEROS!$A$2:$C$4000,3,FALSE)</f>
        <v>RESTAURANTE BARICHARA</v>
      </c>
      <c r="F14" s="28" t="s">
        <v>508</v>
      </c>
      <c r="G14" s="29">
        <v>315000</v>
      </c>
      <c r="H14" s="30"/>
      <c r="I14" s="31">
        <f t="shared" si="0"/>
        <v>315000</v>
      </c>
      <c r="K14" s="1">
        <v>1</v>
      </c>
    </row>
    <row r="15" spans="1:12" s="1" customFormat="1" ht="14.5" x14ac:dyDescent="0.35">
      <c r="A15" s="82">
        <v>6</v>
      </c>
      <c r="B15" s="341"/>
      <c r="C15" s="25">
        <v>43419</v>
      </c>
      <c r="D15" s="26">
        <v>80167802</v>
      </c>
      <c r="E15" s="27" t="s">
        <v>509</v>
      </c>
      <c r="F15" s="28" t="s">
        <v>510</v>
      </c>
      <c r="G15" s="29">
        <v>189076</v>
      </c>
      <c r="H15" s="178">
        <f>+G15*19%</f>
        <v>35924.44</v>
      </c>
      <c r="I15" s="31">
        <f t="shared" si="0"/>
        <v>225000.44</v>
      </c>
    </row>
    <row r="16" spans="1:12" s="1" customFormat="1" ht="14.5" x14ac:dyDescent="0.35">
      <c r="A16" s="83">
        <v>7</v>
      </c>
      <c r="B16" s="341"/>
      <c r="C16" s="25">
        <v>43420</v>
      </c>
      <c r="D16" s="26">
        <v>830057186</v>
      </c>
      <c r="E16" s="27" t="str">
        <f>VLOOKUP(D16,[1]TERCEROS!$A$2:$C$4000,3,FALSE)</f>
        <v>MUNDIAL DE TORNILLOS SA</v>
      </c>
      <c r="F16" s="28" t="s">
        <v>511</v>
      </c>
      <c r="G16" s="29">
        <v>221418</v>
      </c>
      <c r="H16" s="178">
        <f>+G16*19%</f>
        <v>42069.42</v>
      </c>
      <c r="I16" s="31">
        <f t="shared" si="0"/>
        <v>263487.42</v>
      </c>
    </row>
    <row r="17" spans="1:37" s="1" customFormat="1" ht="14.5" x14ac:dyDescent="0.35">
      <c r="A17" s="83">
        <v>8</v>
      </c>
      <c r="B17" s="341"/>
      <c r="C17" s="25">
        <v>43424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30"/>
      <c r="I17" s="31">
        <f t="shared" si="0"/>
        <v>9700</v>
      </c>
    </row>
    <row r="18" spans="1:37" s="1" customFormat="1" ht="14.5" x14ac:dyDescent="0.35">
      <c r="A18" s="83">
        <v>9</v>
      </c>
      <c r="B18" s="341"/>
      <c r="C18" s="25">
        <v>43417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30"/>
      <c r="I18" s="31">
        <f t="shared" si="0"/>
        <v>9700</v>
      </c>
    </row>
    <row r="19" spans="1:37" s="1" customFormat="1" ht="14.5" x14ac:dyDescent="0.35">
      <c r="A19" s="83"/>
      <c r="B19" s="341"/>
      <c r="C19" s="25">
        <v>43420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30"/>
      <c r="I19" s="31">
        <f t="shared" si="0"/>
        <v>9700</v>
      </c>
    </row>
    <row r="20" spans="1:37" s="1" customFormat="1" ht="15" thickBot="1" x14ac:dyDescent="0.4">
      <c r="A20" s="83">
        <v>10</v>
      </c>
      <c r="B20" s="341"/>
      <c r="C20" s="25">
        <v>43423</v>
      </c>
      <c r="D20" s="26">
        <v>800097424</v>
      </c>
      <c r="E20" s="27" t="str">
        <f>VLOOKUP(D20,[1]TERCEROS!$A$2:$C$4000,3,FALSE)</f>
        <v>DISTRIBUIDORA LA PUNTA LTDA</v>
      </c>
      <c r="F20" s="28" t="s">
        <v>512</v>
      </c>
      <c r="G20" s="29">
        <v>2891</v>
      </c>
      <c r="H20" s="178">
        <f>+G20*19%</f>
        <v>549.29</v>
      </c>
      <c r="I20" s="31">
        <f t="shared" si="0"/>
        <v>3440.29</v>
      </c>
    </row>
    <row r="21" spans="1:37" s="1" customFormat="1" ht="15" thickBot="1" x14ac:dyDescent="0.4">
      <c r="A21" s="82">
        <v>11</v>
      </c>
      <c r="B21" s="341"/>
      <c r="C21" s="25">
        <v>43420</v>
      </c>
      <c r="D21" s="26">
        <v>800097424</v>
      </c>
      <c r="E21" s="27" t="str">
        <f>VLOOKUP(D21,[1]TERCEROS!$A$2:$C$4000,3,FALSE)</f>
        <v>DISTRIBUIDORA LA PUNTA LTDA</v>
      </c>
      <c r="F21" s="28" t="s">
        <v>513</v>
      </c>
      <c r="G21" s="29">
        <v>81388</v>
      </c>
      <c r="H21" s="178">
        <f>+G21*19%</f>
        <v>15463.72</v>
      </c>
      <c r="I21" s="31">
        <f t="shared" si="0"/>
        <v>96851.72</v>
      </c>
    </row>
    <row r="22" spans="1:37" s="2" customFormat="1" ht="15.75" customHeight="1" thickBot="1" x14ac:dyDescent="0.4">
      <c r="A22" s="342"/>
      <c r="B22" s="329"/>
      <c r="C22" s="329"/>
      <c r="D22" s="329"/>
      <c r="E22" s="330"/>
      <c r="F22" s="33" t="s">
        <v>24</v>
      </c>
      <c r="G22" s="34">
        <f>SUM(G10:G21)</f>
        <v>1313773</v>
      </c>
      <c r="H22" s="34"/>
      <c r="I22" s="34">
        <f>SUM(I10:I21)</f>
        <v>1407779.8699999999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s="2" customFormat="1" ht="15" customHeight="1" x14ac:dyDescent="0.35">
      <c r="A23" s="300" t="s">
        <v>26</v>
      </c>
      <c r="B23" s="301"/>
      <c r="C23" s="301"/>
      <c r="D23" s="306" t="s">
        <v>58</v>
      </c>
      <c r="E23" s="307"/>
      <c r="F23" s="312"/>
      <c r="G23" s="315" t="s">
        <v>16</v>
      </c>
      <c r="H23" s="316"/>
      <c r="I23" s="35">
        <v>1400000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s="2" customFormat="1" ht="15" customHeight="1" x14ac:dyDescent="0.35">
      <c r="A24" s="302"/>
      <c r="B24" s="303"/>
      <c r="C24" s="303"/>
      <c r="D24" s="308"/>
      <c r="E24" s="309"/>
      <c r="F24" s="313"/>
      <c r="G24" s="317" t="s">
        <v>17</v>
      </c>
      <c r="H24" s="318"/>
      <c r="I24" s="36">
        <f>+I23-I22</f>
        <v>-7779.8699999998789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s="1" customFormat="1" ht="15.75" customHeight="1" thickBot="1" x14ac:dyDescent="0.4">
      <c r="A25" s="304"/>
      <c r="B25" s="305"/>
      <c r="C25" s="305"/>
      <c r="D25" s="310"/>
      <c r="E25" s="311"/>
      <c r="F25" s="314"/>
      <c r="G25" s="289" t="s">
        <v>5</v>
      </c>
      <c r="H25" s="290"/>
      <c r="I25" s="37">
        <f>+I23-I24</f>
        <v>1407779.8699999999</v>
      </c>
    </row>
    <row r="26" spans="1:37" s="1" customFormat="1" ht="15" thickBot="1" x14ac:dyDescent="0.4">
      <c r="A26" s="291" t="s">
        <v>25</v>
      </c>
      <c r="B26" s="292"/>
      <c r="C26" s="292"/>
      <c r="D26" s="293"/>
      <c r="E26" s="38"/>
      <c r="F26" s="38"/>
      <c r="G26" s="38"/>
      <c r="H26" s="38"/>
      <c r="I26" s="39"/>
    </row>
    <row r="27" spans="1:37" s="1" customFormat="1" ht="15" thickBot="1" x14ac:dyDescent="0.4">
      <c r="A27" s="40"/>
      <c r="B27" s="41" t="s">
        <v>6</v>
      </c>
      <c r="C27" s="42">
        <f>D44</f>
        <v>0</v>
      </c>
      <c r="D27" s="39"/>
      <c r="E27" s="43">
        <f>C27+C31+I22</f>
        <v>1407779.8699999999</v>
      </c>
      <c r="F27" s="43"/>
      <c r="G27" s="38"/>
      <c r="H27" s="38"/>
      <c r="I27" s="44"/>
    </row>
    <row r="28" spans="1:37" s="1" customFormat="1" ht="15" thickBot="1" x14ac:dyDescent="0.4">
      <c r="A28" s="40"/>
      <c r="B28" s="41"/>
      <c r="C28" s="42"/>
      <c r="D28" s="39"/>
      <c r="E28" s="43"/>
      <c r="F28" s="43"/>
      <c r="G28" s="38"/>
      <c r="H28" s="38"/>
      <c r="I28" s="44"/>
    </row>
    <row r="29" spans="1:37" s="1" customFormat="1" ht="15" thickBot="1" x14ac:dyDescent="0.4">
      <c r="A29" s="40"/>
      <c r="B29" s="41"/>
      <c r="C29" s="45"/>
      <c r="D29" s="39"/>
      <c r="E29" s="43">
        <f>+E27-I23</f>
        <v>7779.8699999998789</v>
      </c>
      <c r="F29" s="38"/>
      <c r="G29" s="38"/>
      <c r="H29" s="38"/>
      <c r="I29" s="39"/>
    </row>
    <row r="30" spans="1:37" s="1" customFormat="1" ht="15" thickBot="1" x14ac:dyDescent="0.4">
      <c r="A30" s="40"/>
      <c r="B30" s="46"/>
      <c r="C30" s="45"/>
      <c r="D30" s="39"/>
      <c r="E30" s="43"/>
      <c r="F30" s="38"/>
      <c r="G30" s="38"/>
      <c r="H30" s="38"/>
      <c r="I30" s="39"/>
    </row>
    <row r="31" spans="1:37" s="1" customFormat="1" ht="15" thickBot="1" x14ac:dyDescent="0.4">
      <c r="A31" s="40"/>
      <c r="B31" s="47" t="s">
        <v>7</v>
      </c>
      <c r="C31" s="45">
        <f>SUM(C28:C30)</f>
        <v>0</v>
      </c>
      <c r="D31" s="39"/>
      <c r="E31" s="48"/>
      <c r="F31" s="48"/>
      <c r="G31" s="48"/>
      <c r="H31" s="48"/>
      <c r="I31" s="49"/>
    </row>
    <row r="32" spans="1:37" s="1" customFormat="1" ht="15" thickBot="1" x14ac:dyDescent="0.4">
      <c r="A32" s="40"/>
      <c r="B32" s="50"/>
      <c r="C32" s="51"/>
      <c r="D32" s="39"/>
      <c r="E32" s="48"/>
      <c r="F32" s="48"/>
      <c r="G32" s="48"/>
      <c r="H32" s="48"/>
      <c r="I32" s="49"/>
    </row>
    <row r="33" spans="1:37" s="1" customFormat="1" ht="15" thickBot="1" x14ac:dyDescent="0.4">
      <c r="A33" s="40"/>
      <c r="B33" s="52"/>
      <c r="C33" s="53" t="s">
        <v>11</v>
      </c>
      <c r="D33" s="54" t="s">
        <v>4</v>
      </c>
      <c r="E33" s="38"/>
      <c r="F33" s="55"/>
      <c r="G33" s="38"/>
      <c r="H33" s="38"/>
      <c r="I33" s="39"/>
    </row>
    <row r="34" spans="1:37" s="1" customFormat="1" ht="14.5" x14ac:dyDescent="0.35">
      <c r="A34" s="40"/>
      <c r="B34" s="56"/>
      <c r="C34" s="57">
        <v>50000</v>
      </c>
      <c r="D34" s="58">
        <f t="shared" ref="D34:D43" si="1">+C34*B34</f>
        <v>0</v>
      </c>
      <c r="E34" s="61" t="s">
        <v>29</v>
      </c>
      <c r="F34" s="60" t="s">
        <v>27</v>
      </c>
      <c r="G34" s="294" t="s">
        <v>28</v>
      </c>
      <c r="H34" s="294"/>
      <c r="I34" s="295"/>
    </row>
    <row r="35" spans="1:37" s="5" customFormat="1" ht="15" customHeight="1" x14ac:dyDescent="0.35">
      <c r="A35" s="40"/>
      <c r="B35" s="62"/>
      <c r="C35" s="63">
        <v>20000</v>
      </c>
      <c r="D35" s="58">
        <f t="shared" si="1"/>
        <v>0</v>
      </c>
      <c r="E35" s="65" t="s">
        <v>19</v>
      </c>
      <c r="F35" s="65" t="s">
        <v>20</v>
      </c>
      <c r="G35" s="296" t="s">
        <v>21</v>
      </c>
      <c r="H35" s="296"/>
      <c r="I35" s="29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s="5" customFormat="1" ht="15" customHeight="1" x14ac:dyDescent="0.35">
      <c r="A36" s="40"/>
      <c r="B36" s="62"/>
      <c r="C36" s="63">
        <v>10000</v>
      </c>
      <c r="D36" s="58">
        <f t="shared" si="1"/>
        <v>0</v>
      </c>
      <c r="E36" s="67" t="s">
        <v>79</v>
      </c>
      <c r="F36" s="67" t="s">
        <v>514</v>
      </c>
      <c r="G36" s="298" t="s">
        <v>515</v>
      </c>
      <c r="H36" s="298"/>
      <c r="I36" s="29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s="5" customFormat="1" ht="15" customHeight="1" x14ac:dyDescent="0.35">
      <c r="A37" s="40"/>
      <c r="B37" s="62"/>
      <c r="C37" s="63">
        <v>5000</v>
      </c>
      <c r="D37" s="58">
        <f t="shared" si="1"/>
        <v>0</v>
      </c>
      <c r="E37" s="38" t="s">
        <v>0</v>
      </c>
      <c r="F37" s="38"/>
      <c r="G37" s="38"/>
      <c r="H37" s="38"/>
      <c r="I37" s="3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s="5" customFormat="1" ht="15" customHeight="1" x14ac:dyDescent="0.35">
      <c r="A38" s="40"/>
      <c r="B38" s="62"/>
      <c r="C38" s="63">
        <v>2000</v>
      </c>
      <c r="D38" s="58">
        <f t="shared" si="1"/>
        <v>0</v>
      </c>
      <c r="E38" s="38"/>
      <c r="F38" s="38" t="s">
        <v>8</v>
      </c>
      <c r="G38" s="38"/>
      <c r="H38" s="38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s="5" customFormat="1" ht="15" customHeight="1" x14ac:dyDescent="0.35">
      <c r="A39" s="40"/>
      <c r="B39" s="62"/>
      <c r="C39" s="63">
        <v>1000</v>
      </c>
      <c r="D39" s="58">
        <f t="shared" si="1"/>
        <v>0</v>
      </c>
      <c r="E39" s="38"/>
      <c r="F39" s="38"/>
      <c r="G39" s="38"/>
      <c r="H39" s="38"/>
      <c r="I39" s="3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s="1" customFormat="1" ht="15" customHeight="1" x14ac:dyDescent="0.35">
      <c r="A40" s="40"/>
      <c r="B40" s="62"/>
      <c r="C40" s="63">
        <v>500</v>
      </c>
      <c r="D40" s="58">
        <f t="shared" si="1"/>
        <v>0</v>
      </c>
      <c r="E40" s="38"/>
      <c r="F40" s="38"/>
      <c r="G40" s="38"/>
      <c r="H40" s="38"/>
      <c r="I40" s="39"/>
    </row>
    <row r="41" spans="1:37" s="1" customFormat="1" ht="15" customHeight="1" x14ac:dyDescent="0.35">
      <c r="A41" s="40"/>
      <c r="B41" s="62"/>
      <c r="C41" s="63">
        <v>200</v>
      </c>
      <c r="D41" s="58">
        <f t="shared" si="1"/>
        <v>0</v>
      </c>
      <c r="E41" s="38"/>
      <c r="F41" s="38"/>
      <c r="G41" s="38"/>
      <c r="H41" s="38"/>
      <c r="I41" s="39"/>
    </row>
    <row r="42" spans="1:37" s="1" customFormat="1" ht="15" customHeight="1" x14ac:dyDescent="0.35">
      <c r="A42" s="40"/>
      <c r="B42" s="62"/>
      <c r="C42" s="63">
        <v>100</v>
      </c>
      <c r="D42" s="58">
        <f>+C42*B42</f>
        <v>0</v>
      </c>
      <c r="E42" s="38"/>
      <c r="F42" s="38"/>
      <c r="G42" s="38"/>
      <c r="H42" s="38"/>
      <c r="I42" s="39"/>
    </row>
    <row r="43" spans="1:37" s="5" customFormat="1" ht="15" customHeight="1" thickBot="1" x14ac:dyDescent="0.4">
      <c r="A43" s="40"/>
      <c r="B43" s="68"/>
      <c r="C43" s="69">
        <v>50</v>
      </c>
      <c r="D43" s="58">
        <f t="shared" si="1"/>
        <v>0</v>
      </c>
      <c r="E43" s="38"/>
      <c r="F43" s="38"/>
      <c r="G43" s="38"/>
      <c r="H43" s="38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s="1" customFormat="1" ht="15" customHeight="1" thickBot="1" x14ac:dyDescent="0.4">
      <c r="A44" s="40"/>
      <c r="B44" s="61"/>
      <c r="C44" s="70"/>
      <c r="D44" s="71">
        <f>SUM(D34:D43)</f>
        <v>0</v>
      </c>
      <c r="E44" s="38"/>
      <c r="F44" s="38"/>
      <c r="G44" s="38"/>
      <c r="H44" s="38"/>
      <c r="I44" s="39"/>
    </row>
    <row r="45" spans="1:37" s="5" customFormat="1" ht="15" customHeight="1" thickBot="1" x14ac:dyDescent="0.4">
      <c r="A45" s="72"/>
      <c r="B45" s="73"/>
      <c r="C45" s="74"/>
      <c r="D45" s="75"/>
      <c r="E45" s="76"/>
      <c r="F45" s="76"/>
      <c r="G45" s="76"/>
      <c r="H45" s="76"/>
      <c r="I45" s="7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s="5" customFormat="1" ht="22.5" customHeight="1" x14ac:dyDescent="0.35">
      <c r="A46" s="1"/>
      <c r="B46"/>
      <c r="C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s="3" customFormat="1" ht="22.5" customHeight="1" x14ac:dyDescent="0.35">
      <c r="A47"/>
      <c r="B47"/>
      <c r="C47" s="6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s="3" customFormat="1" ht="22.5" customHeight="1" x14ac:dyDescent="0.35">
      <c r="A48"/>
      <c r="B48"/>
      <c r="C48" s="6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3" customFormat="1" ht="22.5" customHeight="1" x14ac:dyDescent="0.35">
      <c r="A49"/>
      <c r="B49"/>
      <c r="C49" s="6"/>
      <c r="D49" s="7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</sheetData>
  <mergeCells count="21">
    <mergeCell ref="A26:D26"/>
    <mergeCell ref="G34:I34"/>
    <mergeCell ref="G35:I35"/>
    <mergeCell ref="G36:I36"/>
    <mergeCell ref="B10:B21"/>
    <mergeCell ref="A22:E22"/>
    <mergeCell ref="A23:C25"/>
    <mergeCell ref="D23:E25"/>
    <mergeCell ref="F23:F25"/>
    <mergeCell ref="G23:H23"/>
    <mergeCell ref="G24:H24"/>
    <mergeCell ref="G25:H25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0.70866141732283472" right="0.32" top="0.44" bottom="0.57999999999999996" header="0.31496062992125984" footer="0.31496062992125984"/>
  <pageSetup scale="5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2"/>
  <sheetViews>
    <sheetView showGridLines="0" workbookViewId="0">
      <selection activeCell="F22" sqref="F22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" customWidth="1"/>
    <col min="9" max="9" width="12" customWidth="1"/>
    <col min="11" max="11" width="16.453125" hidden="1" customWidth="1"/>
  </cols>
  <sheetData>
    <row r="1" spans="1:37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37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37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37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37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37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37" s="1" customFormat="1" ht="15.75" customHeight="1" thickBot="1" x14ac:dyDescent="0.4">
      <c r="A7" s="319" t="s">
        <v>23</v>
      </c>
      <c r="B7" s="320"/>
      <c r="C7" s="321">
        <v>43404</v>
      </c>
      <c r="D7" s="321"/>
      <c r="E7" s="321"/>
      <c r="F7" s="321"/>
      <c r="G7" s="321"/>
      <c r="H7" s="321"/>
      <c r="I7" s="322"/>
    </row>
    <row r="8" spans="1:37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37" s="1" customFormat="1" ht="28.5" customHeight="1" thickBot="1" x14ac:dyDescent="0.4">
      <c r="A9" s="84" t="s">
        <v>1</v>
      </c>
      <c r="B9" s="254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84" t="str">
        <f>IF(K14=1,"IVA","TRM")</f>
        <v>TRM</v>
      </c>
      <c r="I9" s="14" t="s">
        <v>4</v>
      </c>
    </row>
    <row r="10" spans="1:37" s="1" customFormat="1" ht="14.5" x14ac:dyDescent="0.35">
      <c r="A10" s="82">
        <v>1</v>
      </c>
      <c r="B10" s="343" t="s">
        <v>516</v>
      </c>
      <c r="C10" s="255">
        <v>43389</v>
      </c>
      <c r="D10" s="17">
        <v>396867</v>
      </c>
      <c r="E10" s="18" t="str">
        <f>VLOOKUP(D10,[1]TERCEROS!$A$2:$C$4000,3,FALSE)</f>
        <v>ALEJANDRO AIKEN TORRES ARROYO</v>
      </c>
      <c r="F10" s="19" t="s">
        <v>517</v>
      </c>
      <c r="G10" s="20">
        <v>510</v>
      </c>
      <c r="H10" s="21">
        <v>3088.78</v>
      </c>
      <c r="I10" s="22">
        <f>IF($K$14=1,G10+H10,G10*H10)</f>
        <v>1575277.8</v>
      </c>
    </row>
    <row r="11" spans="1:37" s="1" customFormat="1" ht="15" thickBot="1" x14ac:dyDescent="0.4">
      <c r="A11" s="83">
        <v>2</v>
      </c>
      <c r="B11" s="344"/>
      <c r="C11" s="32">
        <v>43385</v>
      </c>
      <c r="D11" s="26">
        <v>1052312445</v>
      </c>
      <c r="E11" s="27" t="str">
        <f>VLOOKUP(D11,[1]TERCEROS!$A$2:$C$4000,3,FALSE)</f>
        <v>JHON IVAN SOLANO RINCON</v>
      </c>
      <c r="F11" s="28" t="s">
        <v>517</v>
      </c>
      <c r="G11" s="29">
        <v>1020</v>
      </c>
      <c r="H11" s="30">
        <v>3087.34</v>
      </c>
      <c r="I11" s="31">
        <f>IF($K$14=1,G11+H11,G11*H11)</f>
        <v>3149086.8000000003</v>
      </c>
    </row>
    <row r="12" spans="1:37" s="1" customFormat="1" ht="15" thickBot="1" x14ac:dyDescent="0.4">
      <c r="A12" s="82">
        <v>3</v>
      </c>
      <c r="B12" s="344"/>
      <c r="C12" s="32">
        <v>43385</v>
      </c>
      <c r="D12" s="26">
        <v>820728</v>
      </c>
      <c r="E12" s="27" t="s">
        <v>212</v>
      </c>
      <c r="F12" s="28" t="s">
        <v>517</v>
      </c>
      <c r="G12" s="29">
        <v>900</v>
      </c>
      <c r="H12" s="30">
        <v>3087.34</v>
      </c>
      <c r="I12" s="31">
        <f>IF($K$14=1,G12+H12,G12*H12)</f>
        <v>2778606</v>
      </c>
    </row>
    <row r="13" spans="1:37" s="1" customFormat="1" ht="15" thickBot="1" x14ac:dyDescent="0.4">
      <c r="A13" s="82">
        <v>4</v>
      </c>
      <c r="B13" s="344"/>
      <c r="C13" s="32">
        <v>43404</v>
      </c>
      <c r="D13" s="26">
        <v>8686492</v>
      </c>
      <c r="E13" s="27" t="s">
        <v>518</v>
      </c>
      <c r="F13" s="28" t="s">
        <v>517</v>
      </c>
      <c r="G13" s="29">
        <v>900</v>
      </c>
      <c r="H13" s="30">
        <v>3202.44</v>
      </c>
      <c r="I13" s="31">
        <f>IF($K$14=1,G13+H13,G13*H13)</f>
        <v>2882196</v>
      </c>
    </row>
    <row r="14" spans="1:37" s="1" customFormat="1" ht="15" thickBot="1" x14ac:dyDescent="0.4">
      <c r="A14" s="82">
        <v>5</v>
      </c>
      <c r="B14" s="345"/>
      <c r="C14" s="256"/>
      <c r="D14" s="110"/>
      <c r="E14" s="111" t="e">
        <f>VLOOKUP(D14,[1]TERCEROS!$A$2:$C$4000,3,FALSE)</f>
        <v>#N/A</v>
      </c>
      <c r="F14" s="112"/>
      <c r="G14" s="113"/>
      <c r="H14" s="114"/>
      <c r="I14" s="115">
        <f t="shared" ref="I14" si="0">IF($K$14=1,G14+H14,G14*H14)</f>
        <v>0</v>
      </c>
      <c r="K14" s="1">
        <v>2</v>
      </c>
    </row>
    <row r="15" spans="1:37" s="2" customFormat="1" ht="15.75" customHeight="1" thickBot="1" x14ac:dyDescent="0.4">
      <c r="A15" s="342"/>
      <c r="B15" s="329"/>
      <c r="C15" s="329"/>
      <c r="D15" s="329"/>
      <c r="E15" s="330"/>
      <c r="F15" s="93" t="s">
        <v>24</v>
      </c>
      <c r="G15" s="94">
        <f>SUM(G10:G14)</f>
        <v>3330</v>
      </c>
      <c r="H15" s="94"/>
      <c r="I15" s="94">
        <f>SUM(I10:I14)</f>
        <v>10385166.600000001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2" customFormat="1" ht="15" customHeight="1" x14ac:dyDescent="0.35">
      <c r="A16" s="300" t="s">
        <v>26</v>
      </c>
      <c r="B16" s="301"/>
      <c r="C16" s="301"/>
      <c r="D16" s="306" t="s">
        <v>58</v>
      </c>
      <c r="E16" s="307"/>
      <c r="F16" s="312"/>
      <c r="G16" s="315" t="s">
        <v>16</v>
      </c>
      <c r="H16" s="316"/>
      <c r="I16" s="35">
        <v>12241622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2" customFormat="1" ht="15" customHeight="1" x14ac:dyDescent="0.35">
      <c r="A17" s="302"/>
      <c r="B17" s="303"/>
      <c r="C17" s="303"/>
      <c r="D17" s="308"/>
      <c r="E17" s="309"/>
      <c r="F17" s="313"/>
      <c r="G17" s="317" t="s">
        <v>17</v>
      </c>
      <c r="H17" s="318"/>
      <c r="I17" s="36">
        <f>+I16-I15</f>
        <v>1856455.3999999985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1" customFormat="1" ht="15.75" customHeight="1" thickBot="1" x14ac:dyDescent="0.4">
      <c r="A18" s="304"/>
      <c r="B18" s="305"/>
      <c r="C18" s="305"/>
      <c r="D18" s="310"/>
      <c r="E18" s="311"/>
      <c r="F18" s="314"/>
      <c r="G18" s="289" t="s">
        <v>5</v>
      </c>
      <c r="H18" s="290"/>
      <c r="I18" s="37">
        <f>+I16-I17</f>
        <v>10385166.600000001</v>
      </c>
    </row>
    <row r="19" spans="1:37" s="1" customFormat="1" ht="15" thickBot="1" x14ac:dyDescent="0.4">
      <c r="A19" s="291" t="s">
        <v>25</v>
      </c>
      <c r="B19" s="292"/>
      <c r="C19" s="292"/>
      <c r="D19" s="293"/>
      <c r="E19" s="38"/>
      <c r="F19" s="38"/>
      <c r="G19" s="38"/>
      <c r="H19" s="38"/>
      <c r="I19" s="39"/>
    </row>
    <row r="20" spans="1:37" s="1" customFormat="1" ht="15" thickBot="1" x14ac:dyDescent="0.4">
      <c r="A20" s="40"/>
      <c r="B20" s="41" t="s">
        <v>6</v>
      </c>
      <c r="C20" s="42">
        <f>D37</f>
        <v>0</v>
      </c>
      <c r="D20" s="39"/>
      <c r="E20" s="43">
        <f>C20+C24+I15</f>
        <v>10385166.600000001</v>
      </c>
      <c r="F20" s="43"/>
      <c r="G20" s="38"/>
      <c r="H20" s="38"/>
      <c r="I20" s="44"/>
    </row>
    <row r="21" spans="1:37" s="1" customFormat="1" ht="15" thickBot="1" x14ac:dyDescent="0.4">
      <c r="A21" s="40"/>
      <c r="B21" s="41"/>
      <c r="C21" s="42"/>
      <c r="D21" s="39"/>
      <c r="E21" s="43"/>
      <c r="F21" s="43"/>
      <c r="G21" s="38"/>
      <c r="H21" s="38"/>
      <c r="I21" s="44"/>
    </row>
    <row r="22" spans="1:37" s="1" customFormat="1" ht="15" thickBot="1" x14ac:dyDescent="0.4">
      <c r="A22" s="40"/>
      <c r="B22" s="41"/>
      <c r="C22" s="45"/>
      <c r="D22" s="39"/>
      <c r="E22" s="43">
        <f>+E20-I16</f>
        <v>-1856455.3999999985</v>
      </c>
      <c r="F22" s="38"/>
      <c r="G22" s="38"/>
      <c r="H22" s="38"/>
      <c r="I22" s="39"/>
    </row>
    <row r="23" spans="1:37" s="1" customFormat="1" ht="15" thickBot="1" x14ac:dyDescent="0.4">
      <c r="A23" s="40"/>
      <c r="B23" s="46"/>
      <c r="C23" s="45"/>
      <c r="D23" s="39"/>
      <c r="E23" s="43"/>
      <c r="F23" s="38"/>
      <c r="G23" s="38"/>
      <c r="H23" s="38"/>
      <c r="I23" s="39"/>
    </row>
    <row r="24" spans="1:37" s="1" customFormat="1" ht="15" thickBot="1" x14ac:dyDescent="0.4">
      <c r="A24" s="40"/>
      <c r="B24" s="47" t="s">
        <v>7</v>
      </c>
      <c r="C24" s="45">
        <f>SUM(C21:C23)</f>
        <v>0</v>
      </c>
      <c r="D24" s="39"/>
      <c r="E24" s="48"/>
      <c r="F24" s="48"/>
      <c r="G24" s="48"/>
      <c r="H24" s="48"/>
      <c r="I24" s="49"/>
    </row>
    <row r="25" spans="1:37" s="1" customFormat="1" ht="15" thickBot="1" x14ac:dyDescent="0.4">
      <c r="A25" s="40"/>
      <c r="B25" s="50"/>
      <c r="C25" s="51"/>
      <c r="D25" s="39"/>
      <c r="E25" s="48"/>
      <c r="F25" s="48"/>
      <c r="G25" s="48"/>
      <c r="H25" s="48"/>
      <c r="I25" s="49"/>
    </row>
    <row r="26" spans="1:37" s="1" customFormat="1" ht="15" thickBot="1" x14ac:dyDescent="0.4">
      <c r="A26" s="40"/>
      <c r="B26" s="52"/>
      <c r="C26" s="53" t="s">
        <v>11</v>
      </c>
      <c r="D26" s="54" t="s">
        <v>4</v>
      </c>
      <c r="E26" s="38"/>
      <c r="F26" s="55"/>
      <c r="G26" s="38"/>
      <c r="H26" s="38"/>
      <c r="I26" s="39"/>
    </row>
    <row r="27" spans="1:37" s="1" customFormat="1" ht="14.5" x14ac:dyDescent="0.35">
      <c r="A27" s="40"/>
      <c r="B27" s="56"/>
      <c r="C27" s="57">
        <v>50000</v>
      </c>
      <c r="D27" s="58">
        <f t="shared" ref="D27:D36" si="1">+C27*B27</f>
        <v>0</v>
      </c>
      <c r="E27" s="80" t="s">
        <v>29</v>
      </c>
      <c r="F27" s="60" t="s">
        <v>27</v>
      </c>
      <c r="G27" s="294" t="s">
        <v>28</v>
      </c>
      <c r="H27" s="294"/>
      <c r="I27" s="295"/>
    </row>
    <row r="28" spans="1:37" s="5" customFormat="1" ht="15" customHeight="1" x14ac:dyDescent="0.35">
      <c r="A28" s="40"/>
      <c r="B28" s="62"/>
      <c r="C28" s="63">
        <v>20000</v>
      </c>
      <c r="D28" s="58">
        <f t="shared" si="1"/>
        <v>0</v>
      </c>
      <c r="E28" s="78" t="s">
        <v>19</v>
      </c>
      <c r="F28" s="78" t="s">
        <v>20</v>
      </c>
      <c r="G28" s="296" t="s">
        <v>21</v>
      </c>
      <c r="H28" s="296"/>
      <c r="I28" s="29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s="5" customFormat="1" ht="15" customHeight="1" x14ac:dyDescent="0.35">
      <c r="A29" s="40"/>
      <c r="B29" s="62"/>
      <c r="C29" s="63">
        <v>10000</v>
      </c>
      <c r="D29" s="58">
        <f t="shared" si="1"/>
        <v>0</v>
      </c>
      <c r="E29" s="79" t="s">
        <v>86</v>
      </c>
      <c r="F29" s="79" t="s">
        <v>87</v>
      </c>
      <c r="G29" s="298" t="s">
        <v>88</v>
      </c>
      <c r="H29" s="298"/>
      <c r="I29" s="29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s="5" customFormat="1" ht="15" customHeight="1" x14ac:dyDescent="0.35">
      <c r="A30" s="40"/>
      <c r="B30" s="62"/>
      <c r="C30" s="63">
        <v>5000</v>
      </c>
      <c r="D30" s="58">
        <f t="shared" si="1"/>
        <v>0</v>
      </c>
      <c r="E30" s="38" t="s">
        <v>0</v>
      </c>
      <c r="F30" s="38"/>
      <c r="G30" s="38"/>
      <c r="H30" s="38"/>
      <c r="I30" s="3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s="5" customFormat="1" ht="15" customHeight="1" x14ac:dyDescent="0.35">
      <c r="A31" s="40"/>
      <c r="B31" s="62"/>
      <c r="C31" s="63">
        <v>2000</v>
      </c>
      <c r="D31" s="58">
        <f t="shared" si="1"/>
        <v>0</v>
      </c>
      <c r="E31" s="38"/>
      <c r="F31" s="38" t="s">
        <v>8</v>
      </c>
      <c r="G31" s="38"/>
      <c r="H31" s="38"/>
      <c r="I31" s="3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s="5" customFormat="1" ht="15" customHeight="1" x14ac:dyDescent="0.35">
      <c r="A32" s="40"/>
      <c r="B32" s="62"/>
      <c r="C32" s="63">
        <v>1000</v>
      </c>
      <c r="D32" s="58">
        <f t="shared" si="1"/>
        <v>0</v>
      </c>
      <c r="E32" s="38"/>
      <c r="F32" s="38"/>
      <c r="G32" s="38"/>
      <c r="H32" s="38"/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s="1" customFormat="1" ht="15" customHeight="1" x14ac:dyDescent="0.35">
      <c r="A33" s="40"/>
      <c r="B33" s="62"/>
      <c r="C33" s="63">
        <v>500</v>
      </c>
      <c r="D33" s="58">
        <f t="shared" si="1"/>
        <v>0</v>
      </c>
      <c r="E33" s="38"/>
      <c r="F33" s="38"/>
      <c r="G33" s="38"/>
      <c r="H33" s="38"/>
      <c r="I33" s="39"/>
    </row>
    <row r="34" spans="1:37" s="1" customFormat="1" ht="15" customHeight="1" x14ac:dyDescent="0.35">
      <c r="A34" s="40"/>
      <c r="B34" s="62"/>
      <c r="C34" s="63">
        <v>200</v>
      </c>
      <c r="D34" s="58">
        <f t="shared" si="1"/>
        <v>0</v>
      </c>
      <c r="E34" s="38"/>
      <c r="F34" s="38"/>
      <c r="G34" s="38"/>
      <c r="H34" s="38"/>
      <c r="I34" s="39"/>
    </row>
    <row r="35" spans="1:37" s="1" customFormat="1" ht="15" customHeight="1" x14ac:dyDescent="0.35">
      <c r="A35" s="40"/>
      <c r="B35" s="62"/>
      <c r="C35" s="63">
        <v>100</v>
      </c>
      <c r="D35" s="58">
        <f>+C35*B35</f>
        <v>0</v>
      </c>
      <c r="E35" s="38"/>
      <c r="F35" s="38"/>
      <c r="G35" s="38"/>
      <c r="H35" s="38"/>
      <c r="I35" s="39"/>
    </row>
    <row r="36" spans="1:37" s="5" customFormat="1" ht="15" customHeight="1" thickBot="1" x14ac:dyDescent="0.4">
      <c r="A36" s="40"/>
      <c r="B36" s="68"/>
      <c r="C36" s="69">
        <v>50</v>
      </c>
      <c r="D36" s="58">
        <f t="shared" si="1"/>
        <v>0</v>
      </c>
      <c r="E36" s="38"/>
      <c r="F36" s="38"/>
      <c r="G36" s="38"/>
      <c r="H36" s="38"/>
      <c r="I36" s="3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s="1" customFormat="1" ht="15" customHeight="1" thickBot="1" x14ac:dyDescent="0.4">
      <c r="A37" s="40"/>
      <c r="B37" s="80"/>
      <c r="C37" s="70"/>
      <c r="D37" s="71">
        <f>SUM(D27:D36)</f>
        <v>0</v>
      </c>
      <c r="E37" s="38"/>
      <c r="F37" s="38"/>
      <c r="G37" s="38"/>
      <c r="H37" s="38"/>
      <c r="I37" s="39"/>
    </row>
    <row r="38" spans="1:37" s="5" customFormat="1" ht="15" customHeight="1" thickBot="1" x14ac:dyDescent="0.4">
      <c r="A38" s="72"/>
      <c r="B38" s="73"/>
      <c r="C38" s="74"/>
      <c r="D38" s="75"/>
      <c r="E38" s="76"/>
      <c r="F38" s="76"/>
      <c r="G38" s="76"/>
      <c r="H38" s="76"/>
      <c r="I38" s="7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s="5" customFormat="1" ht="22.5" customHeight="1" x14ac:dyDescent="0.35">
      <c r="A39" s="1"/>
      <c r="B39"/>
      <c r="C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s="3" customFormat="1" ht="22.5" customHeight="1" x14ac:dyDescent="0.35">
      <c r="A40"/>
      <c r="B40"/>
      <c r="C40" s="6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s="3" customFormat="1" ht="22.5" customHeight="1" x14ac:dyDescent="0.35">
      <c r="A41"/>
      <c r="B41"/>
      <c r="C41" s="6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37" s="3" customFormat="1" ht="22.5" customHeight="1" x14ac:dyDescent="0.35">
      <c r="A42"/>
      <c r="B42"/>
      <c r="C42" s="6"/>
      <c r="D42" s="7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</sheetData>
  <mergeCells count="21">
    <mergeCell ref="A1:B6"/>
    <mergeCell ref="C1:F3"/>
    <mergeCell ref="G1:I2"/>
    <mergeCell ref="G3:I4"/>
    <mergeCell ref="C4:F6"/>
    <mergeCell ref="G5:I6"/>
    <mergeCell ref="B10:B14"/>
    <mergeCell ref="A7:B7"/>
    <mergeCell ref="C7:I7"/>
    <mergeCell ref="A8:I8"/>
    <mergeCell ref="A15:E15"/>
    <mergeCell ref="A19:D19"/>
    <mergeCell ref="G27:I27"/>
    <mergeCell ref="G28:I28"/>
    <mergeCell ref="G29:I29"/>
    <mergeCell ref="A16:C18"/>
    <mergeCell ref="D16:E18"/>
    <mergeCell ref="F16:F18"/>
    <mergeCell ref="G16:H16"/>
    <mergeCell ref="G17:H17"/>
    <mergeCell ref="G18:H18"/>
  </mergeCells>
  <pageMargins left="0.70866141732283472" right="0.32" top="0.44" bottom="0.57999999999999996" header="0.31496062992125984" footer="0.31496062992125984"/>
  <pageSetup scale="5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29"/>
  <sheetViews>
    <sheetView showGridLines="0" topLeftCell="A88" workbookViewId="0">
      <selection activeCell="D99" sqref="D99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43346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05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05" t="str">
        <f>IF(K14=1,"IVA","TRM")</f>
        <v>IVA</v>
      </c>
      <c r="I9" s="14" t="s">
        <v>4</v>
      </c>
    </row>
    <row r="10" spans="1:12" s="1" customFormat="1" ht="14.5" x14ac:dyDescent="0.35">
      <c r="A10" s="15">
        <v>1</v>
      </c>
      <c r="B10" s="336" t="s">
        <v>32</v>
      </c>
      <c r="C10" s="16">
        <v>43339</v>
      </c>
      <c r="D10" s="17">
        <v>830054076</v>
      </c>
      <c r="E10" s="18" t="str">
        <f>VLOOKUP(D10,[1]TERCEROS!$A$2:$C$4000,3,FALSE)</f>
        <v>FIDEICOMISOS SOCIEDAD FIDUCIARIA</v>
      </c>
      <c r="F10" s="19" t="s">
        <v>33</v>
      </c>
      <c r="G10" s="20">
        <v>9700</v>
      </c>
      <c r="H10" s="21"/>
      <c r="I10" s="22">
        <f>IF($K$14=1,G10+H10,G10*H10)</f>
        <v>9700</v>
      </c>
    </row>
    <row r="11" spans="1:12" s="1" customFormat="1" ht="14.5" x14ac:dyDescent="0.35">
      <c r="A11" s="23">
        <v>2</v>
      </c>
      <c r="B11" s="337"/>
      <c r="C11" s="25">
        <v>43337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30"/>
      <c r="I11" s="31">
        <f>IF($K$14=1,G11+H11,G11*H11)</f>
        <v>9700</v>
      </c>
    </row>
    <row r="12" spans="1:12" s="1" customFormat="1" ht="14.5" x14ac:dyDescent="0.35">
      <c r="A12" s="23">
        <v>3</v>
      </c>
      <c r="B12" s="337"/>
      <c r="C12" s="25">
        <v>43341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30"/>
      <c r="I12" s="31">
        <f t="shared" ref="I12:I101" si="0">IF($K$14=1,G12+H12,G12*H12)</f>
        <v>9700</v>
      </c>
    </row>
    <row r="13" spans="1:12" s="1" customFormat="1" ht="14.5" x14ac:dyDescent="0.35">
      <c r="A13" s="23">
        <v>4</v>
      </c>
      <c r="B13" s="337"/>
      <c r="C13" s="25">
        <v>43339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30"/>
      <c r="I13" s="31">
        <f t="shared" si="0"/>
        <v>9700</v>
      </c>
    </row>
    <row r="14" spans="1:12" s="1" customFormat="1" ht="14.5" x14ac:dyDescent="0.35">
      <c r="A14" s="23">
        <v>5</v>
      </c>
      <c r="B14" s="337"/>
      <c r="C14" s="25">
        <v>43339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30"/>
      <c r="I14" s="31">
        <f t="shared" si="0"/>
        <v>9700</v>
      </c>
      <c r="K14" s="1">
        <v>1</v>
      </c>
    </row>
    <row r="15" spans="1:12" s="1" customFormat="1" ht="14.5" x14ac:dyDescent="0.35">
      <c r="A15" s="23">
        <v>6</v>
      </c>
      <c r="B15" s="337"/>
      <c r="C15" s="25">
        <v>43332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30"/>
      <c r="I15" s="31">
        <f t="shared" si="0"/>
        <v>9700</v>
      </c>
    </row>
    <row r="16" spans="1:12" s="1" customFormat="1" ht="15" thickBot="1" x14ac:dyDescent="0.4">
      <c r="A16" s="23">
        <v>7</v>
      </c>
      <c r="B16" s="337"/>
      <c r="C16" s="25">
        <v>43335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30"/>
      <c r="I16" s="31">
        <f t="shared" si="0"/>
        <v>9700</v>
      </c>
    </row>
    <row r="17" spans="1:9" s="1" customFormat="1" ht="14.5" x14ac:dyDescent="0.35">
      <c r="A17" s="15">
        <v>8</v>
      </c>
      <c r="B17" s="337"/>
      <c r="C17" s="25">
        <v>43335</v>
      </c>
      <c r="D17" s="26">
        <v>830054076</v>
      </c>
      <c r="E17" s="27" t="str">
        <f>VLOOKUP(D17,[1]TERCEROS!$A$2:$C$4000,3,FALSE)</f>
        <v>FIDEICOMISOS SOCIEDAD FIDUCIARIA</v>
      </c>
      <c r="F17" s="28" t="s">
        <v>33</v>
      </c>
      <c r="G17" s="29">
        <v>9700</v>
      </c>
      <c r="H17" s="30"/>
      <c r="I17" s="31">
        <f t="shared" si="0"/>
        <v>9700</v>
      </c>
    </row>
    <row r="18" spans="1:9" s="1" customFormat="1" ht="15" thickBot="1" x14ac:dyDescent="0.4">
      <c r="A18" s="23">
        <v>9</v>
      </c>
      <c r="B18" s="337"/>
      <c r="C18" s="25">
        <v>43339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30"/>
      <c r="I18" s="31">
        <f t="shared" si="0"/>
        <v>9700</v>
      </c>
    </row>
    <row r="19" spans="1:9" s="1" customFormat="1" ht="14.5" x14ac:dyDescent="0.35">
      <c r="A19" s="15">
        <v>10</v>
      </c>
      <c r="B19" s="337"/>
      <c r="C19" s="25">
        <v>43345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30"/>
      <c r="I19" s="31">
        <f t="shared" si="0"/>
        <v>9700</v>
      </c>
    </row>
    <row r="20" spans="1:9" s="1" customFormat="1" ht="14.5" x14ac:dyDescent="0.35">
      <c r="A20" s="23">
        <v>11</v>
      </c>
      <c r="B20" s="337"/>
      <c r="C20" s="25">
        <v>43345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30"/>
      <c r="I20" s="31">
        <f t="shared" si="0"/>
        <v>9700</v>
      </c>
    </row>
    <row r="21" spans="1:9" s="1" customFormat="1" ht="14.5" x14ac:dyDescent="0.35">
      <c r="A21" s="23">
        <v>12</v>
      </c>
      <c r="B21" s="337"/>
      <c r="C21" s="25">
        <v>43345</v>
      </c>
      <c r="D21" s="26">
        <v>830054076</v>
      </c>
      <c r="E21" s="27" t="str">
        <f>VLOOKUP(D21,[1]TERCEROS!$A$2:$C$4000,3,FALSE)</f>
        <v>FIDEICOMISOS SOCIEDAD FIDUCIARIA</v>
      </c>
      <c r="F21" s="28" t="s">
        <v>33</v>
      </c>
      <c r="G21" s="29">
        <v>9700</v>
      </c>
      <c r="H21" s="30"/>
      <c r="I21" s="31">
        <f t="shared" si="0"/>
        <v>9700</v>
      </c>
    </row>
    <row r="22" spans="1:9" s="1" customFormat="1" ht="14.5" x14ac:dyDescent="0.35">
      <c r="A22" s="23">
        <v>13</v>
      </c>
      <c r="B22" s="337"/>
      <c r="C22" s="25">
        <v>43345</v>
      </c>
      <c r="D22" s="26">
        <v>830054076</v>
      </c>
      <c r="E22" s="27" t="str">
        <f>VLOOKUP(D22,[1]TERCEROS!$A$2:$C$4000,3,FALSE)</f>
        <v>FIDEICOMISOS SOCIEDAD FIDUCIARIA</v>
      </c>
      <c r="F22" s="28" t="s">
        <v>33</v>
      </c>
      <c r="G22" s="29">
        <v>9700</v>
      </c>
      <c r="H22" s="30"/>
      <c r="I22" s="31">
        <f t="shared" si="0"/>
        <v>9700</v>
      </c>
    </row>
    <row r="23" spans="1:9" s="1" customFormat="1" ht="14.5" x14ac:dyDescent="0.35">
      <c r="A23" s="23">
        <v>14</v>
      </c>
      <c r="B23" s="337"/>
      <c r="C23" s="25">
        <v>43346</v>
      </c>
      <c r="D23" s="26">
        <v>830054076</v>
      </c>
      <c r="E23" s="27" t="str">
        <f>VLOOKUP(D23,[1]TERCEROS!$A$2:$C$4000,3,FALSE)</f>
        <v>FIDEICOMISOS SOCIEDAD FIDUCIARIA</v>
      </c>
      <c r="F23" s="28" t="s">
        <v>33</v>
      </c>
      <c r="G23" s="29">
        <v>9700</v>
      </c>
      <c r="H23" s="30"/>
      <c r="I23" s="31">
        <f t="shared" si="0"/>
        <v>9700</v>
      </c>
    </row>
    <row r="24" spans="1:9" s="1" customFormat="1" ht="14.5" x14ac:dyDescent="0.35">
      <c r="A24" s="23">
        <v>15</v>
      </c>
      <c r="B24" s="337"/>
      <c r="C24" s="25">
        <v>43343</v>
      </c>
      <c r="D24" s="26">
        <v>830054076</v>
      </c>
      <c r="E24" s="27" t="str">
        <f>VLOOKUP(D24,[1]TERCEROS!$A$2:$C$4000,3,FALSE)</f>
        <v>FIDEICOMISOS SOCIEDAD FIDUCIARIA</v>
      </c>
      <c r="F24" s="28" t="s">
        <v>33</v>
      </c>
      <c r="G24" s="29">
        <v>9700</v>
      </c>
      <c r="H24" s="30"/>
      <c r="I24" s="31">
        <f t="shared" si="0"/>
        <v>9700</v>
      </c>
    </row>
    <row r="25" spans="1:9" s="1" customFormat="1" ht="15" thickBot="1" x14ac:dyDescent="0.4">
      <c r="A25" s="23">
        <v>16</v>
      </c>
      <c r="B25" s="337"/>
      <c r="C25" s="25">
        <v>43343</v>
      </c>
      <c r="D25" s="26">
        <v>830054076</v>
      </c>
      <c r="E25" s="27" t="str">
        <f>VLOOKUP(D25,[1]TERCEROS!$A$2:$C$4000,3,FALSE)</f>
        <v>FIDEICOMISOS SOCIEDAD FIDUCIARIA</v>
      </c>
      <c r="F25" s="28" t="s">
        <v>33</v>
      </c>
      <c r="G25" s="29">
        <v>9700</v>
      </c>
      <c r="H25" s="30"/>
      <c r="I25" s="31">
        <f t="shared" si="0"/>
        <v>9700</v>
      </c>
    </row>
    <row r="26" spans="1:9" s="1" customFormat="1" ht="14.5" x14ac:dyDescent="0.35">
      <c r="A26" s="15">
        <v>17</v>
      </c>
      <c r="B26" s="337"/>
      <c r="C26" s="25">
        <v>43343</v>
      </c>
      <c r="D26" s="26">
        <v>830054076</v>
      </c>
      <c r="E26" s="27" t="str">
        <f>VLOOKUP(D26,[1]TERCEROS!$A$2:$C$4000,3,FALSE)</f>
        <v>FIDEICOMISOS SOCIEDAD FIDUCIARIA</v>
      </c>
      <c r="F26" s="28" t="s">
        <v>33</v>
      </c>
      <c r="G26" s="29">
        <v>9700</v>
      </c>
      <c r="H26" s="30"/>
      <c r="I26" s="31">
        <f t="shared" si="0"/>
        <v>9700</v>
      </c>
    </row>
    <row r="27" spans="1:9" s="1" customFormat="1" ht="15" thickBot="1" x14ac:dyDescent="0.4">
      <c r="A27" s="23">
        <v>18</v>
      </c>
      <c r="B27" s="337"/>
      <c r="C27" s="25">
        <v>43344</v>
      </c>
      <c r="D27" s="26">
        <v>800091165</v>
      </c>
      <c r="E27" s="27" t="s">
        <v>69</v>
      </c>
      <c r="F27" s="28" t="s">
        <v>35</v>
      </c>
      <c r="G27" s="29">
        <v>6000</v>
      </c>
      <c r="H27" s="30"/>
      <c r="I27" s="31">
        <f t="shared" si="0"/>
        <v>6000</v>
      </c>
    </row>
    <row r="28" spans="1:9" s="1" customFormat="1" ht="14.5" x14ac:dyDescent="0.35">
      <c r="A28" s="15">
        <v>19</v>
      </c>
      <c r="B28" s="337"/>
      <c r="C28" s="25">
        <v>43342</v>
      </c>
      <c r="D28" s="26">
        <v>830054076</v>
      </c>
      <c r="E28" s="27" t="str">
        <f>VLOOKUP(D28,[1]TERCEROS!$A$2:$C$4000,3,FALSE)</f>
        <v>FIDEICOMISOS SOCIEDAD FIDUCIARIA</v>
      </c>
      <c r="F28" s="28" t="s">
        <v>33</v>
      </c>
      <c r="G28" s="29">
        <v>9700</v>
      </c>
      <c r="H28" s="30"/>
      <c r="I28" s="31">
        <f t="shared" si="0"/>
        <v>9700</v>
      </c>
    </row>
    <row r="29" spans="1:9" s="1" customFormat="1" ht="14.5" x14ac:dyDescent="0.35">
      <c r="A29" s="23">
        <v>20</v>
      </c>
      <c r="B29" s="337"/>
      <c r="C29" s="25">
        <v>43342</v>
      </c>
      <c r="D29" s="26">
        <v>830054076</v>
      </c>
      <c r="E29" s="27" t="str">
        <f>VLOOKUP(D29,[1]TERCEROS!$A$2:$C$4000,3,FALSE)</f>
        <v>FIDEICOMISOS SOCIEDAD FIDUCIARIA</v>
      </c>
      <c r="F29" s="28" t="s">
        <v>33</v>
      </c>
      <c r="G29" s="29">
        <v>9700</v>
      </c>
      <c r="H29" s="30"/>
      <c r="I29" s="31">
        <f t="shared" si="0"/>
        <v>9700</v>
      </c>
    </row>
    <row r="30" spans="1:9" s="1" customFormat="1" ht="14.5" x14ac:dyDescent="0.35">
      <c r="A30" s="23">
        <v>21</v>
      </c>
      <c r="B30" s="337"/>
      <c r="C30" s="25">
        <v>43343</v>
      </c>
      <c r="D30" s="26">
        <v>830054076</v>
      </c>
      <c r="E30" s="27" t="str">
        <f>VLOOKUP(D30,[1]TERCEROS!$A$2:$C$4000,3,FALSE)</f>
        <v>FIDEICOMISOS SOCIEDAD FIDUCIARIA</v>
      </c>
      <c r="F30" s="28" t="s">
        <v>33</v>
      </c>
      <c r="G30" s="29">
        <v>9700</v>
      </c>
      <c r="H30" s="30"/>
      <c r="I30" s="31">
        <f t="shared" si="0"/>
        <v>9700</v>
      </c>
    </row>
    <row r="31" spans="1:9" s="1" customFormat="1" ht="14.5" x14ac:dyDescent="0.35">
      <c r="A31" s="23">
        <v>22</v>
      </c>
      <c r="B31" s="337"/>
      <c r="C31" s="25">
        <v>43322</v>
      </c>
      <c r="D31" s="26">
        <v>830054076</v>
      </c>
      <c r="E31" s="27" t="str">
        <f>VLOOKUP(D31,[1]TERCEROS!$A$2:$C$4000,3,FALSE)</f>
        <v>FIDEICOMISOS SOCIEDAD FIDUCIARIA</v>
      </c>
      <c r="F31" s="28" t="s">
        <v>33</v>
      </c>
      <c r="G31" s="29">
        <v>9700</v>
      </c>
      <c r="H31" s="30"/>
      <c r="I31" s="31">
        <f t="shared" si="0"/>
        <v>9700</v>
      </c>
    </row>
    <row r="32" spans="1:9" s="1" customFormat="1" ht="14.5" x14ac:dyDescent="0.35">
      <c r="A32" s="23">
        <v>23</v>
      </c>
      <c r="B32" s="337"/>
      <c r="C32" s="25">
        <v>43336</v>
      </c>
      <c r="D32" s="26">
        <v>830054076</v>
      </c>
      <c r="E32" s="27" t="str">
        <f>VLOOKUP(D32,[1]TERCEROS!$A$2:$C$4000,3,FALSE)</f>
        <v>FIDEICOMISOS SOCIEDAD FIDUCIARIA</v>
      </c>
      <c r="F32" s="28" t="s">
        <v>33</v>
      </c>
      <c r="G32" s="29">
        <v>9700</v>
      </c>
      <c r="H32" s="30"/>
      <c r="I32" s="31">
        <f t="shared" si="0"/>
        <v>9700</v>
      </c>
    </row>
    <row r="33" spans="1:9" s="1" customFormat="1" ht="14.5" x14ac:dyDescent="0.35">
      <c r="A33" s="23">
        <v>24</v>
      </c>
      <c r="B33" s="337"/>
      <c r="C33" s="25">
        <v>43336</v>
      </c>
      <c r="D33" s="26">
        <v>830054076</v>
      </c>
      <c r="E33" s="27" t="str">
        <f>VLOOKUP(D33,[1]TERCEROS!$A$2:$C$4000,3,FALSE)</f>
        <v>FIDEICOMISOS SOCIEDAD FIDUCIARIA</v>
      </c>
      <c r="F33" s="28" t="s">
        <v>33</v>
      </c>
      <c r="G33" s="29">
        <v>9700</v>
      </c>
      <c r="H33" s="30"/>
      <c r="I33" s="31">
        <f t="shared" si="0"/>
        <v>9700</v>
      </c>
    </row>
    <row r="34" spans="1:9" s="1" customFormat="1" ht="15" thickBot="1" x14ac:dyDescent="0.4">
      <c r="A34" s="23">
        <v>25</v>
      </c>
      <c r="B34" s="337"/>
      <c r="C34" s="25">
        <v>43341</v>
      </c>
      <c r="D34" s="26">
        <v>830054076</v>
      </c>
      <c r="E34" s="27" t="str">
        <f>VLOOKUP(D34,[1]TERCEROS!$A$2:$C$4000,3,FALSE)</f>
        <v>FIDEICOMISOS SOCIEDAD FIDUCIARIA</v>
      </c>
      <c r="F34" s="28" t="s">
        <v>33</v>
      </c>
      <c r="G34" s="29">
        <v>9700</v>
      </c>
      <c r="H34" s="30"/>
      <c r="I34" s="31">
        <f t="shared" si="0"/>
        <v>9700</v>
      </c>
    </row>
    <row r="35" spans="1:9" s="1" customFormat="1" ht="14.5" x14ac:dyDescent="0.35">
      <c r="A35" s="15">
        <v>26</v>
      </c>
      <c r="B35" s="337"/>
      <c r="C35" s="25">
        <v>43330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9700</v>
      </c>
      <c r="H35" s="30"/>
      <c r="I35" s="31">
        <f t="shared" si="0"/>
        <v>9700</v>
      </c>
    </row>
    <row r="36" spans="1:9" s="1" customFormat="1" ht="15" thickBot="1" x14ac:dyDescent="0.4">
      <c r="A36" s="23">
        <v>27</v>
      </c>
      <c r="B36" s="337"/>
      <c r="C36" s="25">
        <v>43337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30"/>
      <c r="I36" s="31">
        <f t="shared" si="0"/>
        <v>9700</v>
      </c>
    </row>
    <row r="37" spans="1:9" s="1" customFormat="1" ht="14.5" x14ac:dyDescent="0.35">
      <c r="A37" s="15">
        <v>28</v>
      </c>
      <c r="B37" s="337"/>
      <c r="C37" s="25">
        <v>43332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9700</v>
      </c>
      <c r="H37" s="30"/>
      <c r="I37" s="31">
        <f t="shared" si="0"/>
        <v>9700</v>
      </c>
    </row>
    <row r="38" spans="1:9" s="1" customFormat="1" ht="14.5" x14ac:dyDescent="0.35">
      <c r="A38" s="23">
        <v>29</v>
      </c>
      <c r="B38" s="337"/>
      <c r="C38" s="25">
        <v>43304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11700</v>
      </c>
      <c r="H38" s="30"/>
      <c r="I38" s="31">
        <f t="shared" si="0"/>
        <v>11700</v>
      </c>
    </row>
    <row r="39" spans="1:9" s="1" customFormat="1" ht="14.5" x14ac:dyDescent="0.35">
      <c r="A39" s="23">
        <v>30</v>
      </c>
      <c r="B39" s="337"/>
      <c r="C39" s="25">
        <v>43343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9700</v>
      </c>
      <c r="H39" s="30"/>
      <c r="I39" s="31">
        <f t="shared" si="0"/>
        <v>9700</v>
      </c>
    </row>
    <row r="40" spans="1:9" s="1" customFormat="1" ht="14.5" x14ac:dyDescent="0.35">
      <c r="A40" s="23">
        <v>31</v>
      </c>
      <c r="B40" s="337"/>
      <c r="C40" s="25">
        <v>43342</v>
      </c>
      <c r="D40" s="26">
        <v>830054076</v>
      </c>
      <c r="E40" s="27" t="str">
        <f>VLOOKUP(D40,[1]TERCEROS!$A$2:$C$4000,3,FALSE)</f>
        <v>FIDEICOMISOS SOCIEDAD FIDUCIARIA</v>
      </c>
      <c r="F40" s="28" t="s">
        <v>33</v>
      </c>
      <c r="G40" s="29">
        <v>9700</v>
      </c>
      <c r="H40" s="30"/>
      <c r="I40" s="31">
        <f t="shared" si="0"/>
        <v>9700</v>
      </c>
    </row>
    <row r="41" spans="1:9" s="1" customFormat="1" ht="14.5" x14ac:dyDescent="0.35">
      <c r="A41" s="23">
        <v>32</v>
      </c>
      <c r="B41" s="337"/>
      <c r="C41" s="25">
        <v>43338</v>
      </c>
      <c r="D41" s="26">
        <v>830054076</v>
      </c>
      <c r="E41" s="27" t="str">
        <f>VLOOKUP(D41,[1]TERCEROS!$A$2:$C$4000,3,FALSE)</f>
        <v>FIDEICOMISOS SOCIEDAD FIDUCIARIA</v>
      </c>
      <c r="F41" s="28" t="s">
        <v>33</v>
      </c>
      <c r="G41" s="29">
        <v>11600</v>
      </c>
      <c r="H41" s="30"/>
      <c r="I41" s="31">
        <f t="shared" si="0"/>
        <v>11600</v>
      </c>
    </row>
    <row r="42" spans="1:9" s="1" customFormat="1" ht="14.5" x14ac:dyDescent="0.35">
      <c r="A42" s="23">
        <v>33</v>
      </c>
      <c r="B42" s="337"/>
      <c r="C42" s="25">
        <v>43339</v>
      </c>
      <c r="D42" s="26">
        <v>830054076</v>
      </c>
      <c r="E42" s="27" t="str">
        <f>VLOOKUP(D42,[1]TERCEROS!$A$2:$C$4000,3,FALSE)</f>
        <v>FIDEICOMISOS SOCIEDAD FIDUCIARIA</v>
      </c>
      <c r="F42" s="28" t="s">
        <v>33</v>
      </c>
      <c r="G42" s="29">
        <v>11600</v>
      </c>
      <c r="H42" s="30"/>
      <c r="I42" s="31">
        <f t="shared" si="0"/>
        <v>11600</v>
      </c>
    </row>
    <row r="43" spans="1:9" s="1" customFormat="1" ht="15" thickBot="1" x14ac:dyDescent="0.4">
      <c r="A43" s="23">
        <v>34</v>
      </c>
      <c r="B43" s="337"/>
      <c r="C43" s="25">
        <v>43341</v>
      </c>
      <c r="D43" s="26">
        <v>830054076</v>
      </c>
      <c r="E43" s="27" t="str">
        <f>VLOOKUP(D43,[1]TERCEROS!$A$2:$C$4000,3,FALSE)</f>
        <v>FIDEICOMISOS SOCIEDAD FIDUCIARIA</v>
      </c>
      <c r="F43" s="28" t="s">
        <v>33</v>
      </c>
      <c r="G43" s="29">
        <v>9700</v>
      </c>
      <c r="H43" s="30"/>
      <c r="I43" s="31">
        <f t="shared" si="0"/>
        <v>9700</v>
      </c>
    </row>
    <row r="44" spans="1:9" s="1" customFormat="1" ht="14.5" x14ac:dyDescent="0.35">
      <c r="A44" s="15">
        <v>35</v>
      </c>
      <c r="B44" s="337"/>
      <c r="C44" s="25">
        <v>43341</v>
      </c>
      <c r="D44" s="26">
        <v>830054076</v>
      </c>
      <c r="E44" s="27" t="str">
        <f>VLOOKUP(D44,[1]TERCEROS!$A$2:$C$4000,3,FALSE)</f>
        <v>FIDEICOMISOS SOCIEDAD FIDUCIARIA</v>
      </c>
      <c r="F44" s="28" t="s">
        <v>33</v>
      </c>
      <c r="G44" s="29">
        <v>9700</v>
      </c>
      <c r="H44" s="30"/>
      <c r="I44" s="31">
        <f t="shared" si="0"/>
        <v>9700</v>
      </c>
    </row>
    <row r="45" spans="1:9" s="1" customFormat="1" ht="15" thickBot="1" x14ac:dyDescent="0.4">
      <c r="A45" s="23">
        <v>36</v>
      </c>
      <c r="B45" s="337"/>
      <c r="C45" s="25">
        <v>43344</v>
      </c>
      <c r="D45" s="26">
        <v>830054076</v>
      </c>
      <c r="E45" s="27" t="str">
        <f>VLOOKUP(D45,[1]TERCEROS!$A$2:$C$4000,3,FALSE)</f>
        <v>FIDEICOMISOS SOCIEDAD FIDUCIARIA</v>
      </c>
      <c r="F45" s="28" t="s">
        <v>33</v>
      </c>
      <c r="G45" s="29">
        <v>9700</v>
      </c>
      <c r="H45" s="30"/>
      <c r="I45" s="31">
        <f t="shared" si="0"/>
        <v>9700</v>
      </c>
    </row>
    <row r="46" spans="1:9" s="1" customFormat="1" ht="14.5" x14ac:dyDescent="0.35">
      <c r="A46" s="15">
        <v>37</v>
      </c>
      <c r="B46" s="337"/>
      <c r="C46" s="25">
        <v>43341</v>
      </c>
      <c r="D46" s="26">
        <v>830054076</v>
      </c>
      <c r="E46" s="27" t="str">
        <f>VLOOKUP(D46,[1]TERCEROS!$A$2:$C$4000,3,FALSE)</f>
        <v>FIDEICOMISOS SOCIEDAD FIDUCIARIA</v>
      </c>
      <c r="F46" s="28" t="s">
        <v>33</v>
      </c>
      <c r="G46" s="29">
        <v>9700</v>
      </c>
      <c r="H46" s="30"/>
      <c r="I46" s="31">
        <f t="shared" si="0"/>
        <v>9700</v>
      </c>
    </row>
    <row r="47" spans="1:9" s="1" customFormat="1" ht="14.5" x14ac:dyDescent="0.35">
      <c r="A47" s="23">
        <v>38</v>
      </c>
      <c r="B47" s="337"/>
      <c r="C47" s="32">
        <v>43341</v>
      </c>
      <c r="D47" s="26">
        <v>830054076</v>
      </c>
      <c r="E47" s="27" t="str">
        <f>VLOOKUP(D47,[1]TERCEROS!$A$2:$C$4000,3,FALSE)</f>
        <v>FIDEICOMISOS SOCIEDAD FIDUCIARIA</v>
      </c>
      <c r="F47" s="28" t="s">
        <v>33</v>
      </c>
      <c r="G47" s="29">
        <v>9700</v>
      </c>
      <c r="H47" s="30"/>
      <c r="I47" s="31">
        <f t="shared" si="0"/>
        <v>9700</v>
      </c>
    </row>
    <row r="48" spans="1:9" s="1" customFormat="1" ht="14.5" x14ac:dyDescent="0.35">
      <c r="A48" s="23">
        <v>39</v>
      </c>
      <c r="B48" s="337"/>
      <c r="C48" s="32">
        <v>43339</v>
      </c>
      <c r="D48" s="26">
        <v>830054076</v>
      </c>
      <c r="E48" s="27" t="str">
        <f>VLOOKUP(D48,[1]TERCEROS!$A$2:$C$4000,3,FALSE)</f>
        <v>FIDEICOMISOS SOCIEDAD FIDUCIARIA</v>
      </c>
      <c r="F48" s="28" t="s">
        <v>33</v>
      </c>
      <c r="G48" s="29">
        <v>9700</v>
      </c>
      <c r="H48" s="30"/>
      <c r="I48" s="31">
        <f t="shared" si="0"/>
        <v>9700</v>
      </c>
    </row>
    <row r="49" spans="1:9" s="1" customFormat="1" ht="14.5" x14ac:dyDescent="0.35">
      <c r="A49" s="23">
        <v>40</v>
      </c>
      <c r="B49" s="337"/>
      <c r="C49" s="32">
        <v>43341</v>
      </c>
      <c r="D49" s="26">
        <v>830054076</v>
      </c>
      <c r="E49" s="27" t="str">
        <f>VLOOKUP(D49,[1]TERCEROS!$A$2:$C$4000,3,FALSE)</f>
        <v>FIDEICOMISOS SOCIEDAD FIDUCIARIA</v>
      </c>
      <c r="F49" s="28" t="s">
        <v>33</v>
      </c>
      <c r="G49" s="29">
        <v>9700</v>
      </c>
      <c r="H49" s="30"/>
      <c r="I49" s="31">
        <f t="shared" si="0"/>
        <v>9700</v>
      </c>
    </row>
    <row r="50" spans="1:9" s="1" customFormat="1" ht="14.5" x14ac:dyDescent="0.35">
      <c r="A50" s="23">
        <v>41</v>
      </c>
      <c r="B50" s="337"/>
      <c r="C50" s="32">
        <v>43341</v>
      </c>
      <c r="D50" s="26">
        <v>830054076</v>
      </c>
      <c r="E50" s="27" t="str">
        <f>VLOOKUP(D50,[1]TERCEROS!$A$2:$C$4000,3,FALSE)</f>
        <v>FIDEICOMISOS SOCIEDAD FIDUCIARIA</v>
      </c>
      <c r="F50" s="28" t="s">
        <v>33</v>
      </c>
      <c r="G50" s="29">
        <v>9700</v>
      </c>
      <c r="H50" s="30"/>
      <c r="I50" s="31">
        <f t="shared" si="0"/>
        <v>9700</v>
      </c>
    </row>
    <row r="51" spans="1:9" s="1" customFormat="1" ht="14.5" x14ac:dyDescent="0.35">
      <c r="A51" s="23">
        <v>42</v>
      </c>
      <c r="B51" s="337"/>
      <c r="C51" s="32">
        <v>43340</v>
      </c>
      <c r="D51" s="26">
        <v>830054076</v>
      </c>
      <c r="E51" s="27" t="str">
        <f>VLOOKUP(D51,[1]TERCEROS!$A$2:$C$4000,3,FALSE)</f>
        <v>FIDEICOMISOS SOCIEDAD FIDUCIARIA</v>
      </c>
      <c r="F51" s="28" t="s">
        <v>33</v>
      </c>
      <c r="G51" s="29">
        <v>9700</v>
      </c>
      <c r="H51" s="30"/>
      <c r="I51" s="31">
        <f t="shared" si="0"/>
        <v>9700</v>
      </c>
    </row>
    <row r="52" spans="1:9" s="1" customFormat="1" ht="15" thickBot="1" x14ac:dyDescent="0.4">
      <c r="A52" s="23">
        <v>43</v>
      </c>
      <c r="B52" s="337"/>
      <c r="C52" s="32">
        <v>43342</v>
      </c>
      <c r="D52" s="26">
        <v>830054076</v>
      </c>
      <c r="E52" s="27" t="str">
        <f>VLOOKUP(D52,[1]TERCEROS!$A$2:$C$4000,3,FALSE)</f>
        <v>FIDEICOMISOS SOCIEDAD FIDUCIARIA</v>
      </c>
      <c r="F52" s="28" t="s">
        <v>33</v>
      </c>
      <c r="G52" s="29">
        <v>11600</v>
      </c>
      <c r="H52" s="30"/>
      <c r="I52" s="31">
        <f t="shared" si="0"/>
        <v>11600</v>
      </c>
    </row>
    <row r="53" spans="1:9" s="1" customFormat="1" ht="14.5" x14ac:dyDescent="0.35">
      <c r="A53" s="15">
        <v>44</v>
      </c>
      <c r="B53" s="337"/>
      <c r="C53" s="32">
        <v>43342</v>
      </c>
      <c r="D53" s="26">
        <v>830054076</v>
      </c>
      <c r="E53" s="27" t="str">
        <f>VLOOKUP(D53,[1]TERCEROS!$A$2:$C$4000,3,FALSE)</f>
        <v>FIDEICOMISOS SOCIEDAD FIDUCIARIA</v>
      </c>
      <c r="F53" s="28" t="s">
        <v>33</v>
      </c>
      <c r="G53" s="29">
        <v>11600</v>
      </c>
      <c r="H53" s="30"/>
      <c r="I53" s="31">
        <f t="shared" si="0"/>
        <v>11600</v>
      </c>
    </row>
    <row r="54" spans="1:9" s="1" customFormat="1" ht="15" thickBot="1" x14ac:dyDescent="0.4">
      <c r="A54" s="23">
        <v>45</v>
      </c>
      <c r="B54" s="337"/>
      <c r="C54" s="32">
        <v>43338</v>
      </c>
      <c r="D54" s="26">
        <v>830054076</v>
      </c>
      <c r="E54" s="27" t="str">
        <f>VLOOKUP(D54,[1]TERCEROS!$A$2:$C$4000,3,FALSE)</f>
        <v>FIDEICOMISOS SOCIEDAD FIDUCIARIA</v>
      </c>
      <c r="F54" s="28" t="s">
        <v>33</v>
      </c>
      <c r="G54" s="29">
        <v>6600</v>
      </c>
      <c r="H54" s="30"/>
      <c r="I54" s="31">
        <f t="shared" si="0"/>
        <v>6600</v>
      </c>
    </row>
    <row r="55" spans="1:9" s="1" customFormat="1" ht="14.5" x14ac:dyDescent="0.35">
      <c r="A55" s="15">
        <v>46</v>
      </c>
      <c r="B55" s="337"/>
      <c r="C55" s="32">
        <v>43339</v>
      </c>
      <c r="D55" s="26">
        <v>900335241</v>
      </c>
      <c r="E55" s="27" t="str">
        <f>VLOOKUP(D55,[1]TERCEROS!$A$2:$C$4000,3,FALSE)</f>
        <v>MIS CARNES PARRILLA S.A.S</v>
      </c>
      <c r="F55" s="28" t="s">
        <v>68</v>
      </c>
      <c r="G55" s="29">
        <v>45600</v>
      </c>
      <c r="H55" s="30"/>
      <c r="I55" s="31">
        <f t="shared" si="0"/>
        <v>45600</v>
      </c>
    </row>
    <row r="56" spans="1:9" s="1" customFormat="1" ht="14.5" x14ac:dyDescent="0.35">
      <c r="A56" s="23">
        <v>47</v>
      </c>
      <c r="B56" s="337"/>
      <c r="C56" s="32">
        <v>43337</v>
      </c>
      <c r="D56" s="26">
        <v>860058760</v>
      </c>
      <c r="E56" s="27" t="str">
        <f>VLOOKUP(D56,[1]TERCEROS!$A$2:$C$4000,3,FALSE)</f>
        <v>PARKING INTERNACIONAL LTDA</v>
      </c>
      <c r="F56" s="28" t="s">
        <v>35</v>
      </c>
      <c r="G56" s="29">
        <v>10000</v>
      </c>
      <c r="H56" s="30"/>
      <c r="I56" s="31">
        <f t="shared" si="0"/>
        <v>10000</v>
      </c>
    </row>
    <row r="57" spans="1:9" s="1" customFormat="1" ht="14.5" x14ac:dyDescent="0.35">
      <c r="A57" s="23">
        <v>48</v>
      </c>
      <c r="B57" s="337"/>
      <c r="C57" s="32">
        <v>43344</v>
      </c>
      <c r="D57" s="26">
        <v>830054076</v>
      </c>
      <c r="E57" s="27" t="str">
        <f>VLOOKUP(D57,[1]TERCEROS!$A$2:$C$4000,3,FALSE)</f>
        <v>FIDEICOMISOS SOCIEDAD FIDUCIARIA</v>
      </c>
      <c r="F57" s="28" t="s">
        <v>33</v>
      </c>
      <c r="G57" s="29">
        <v>9700</v>
      </c>
      <c r="H57" s="30"/>
      <c r="I57" s="31">
        <f t="shared" si="0"/>
        <v>9700</v>
      </c>
    </row>
    <row r="58" spans="1:9" s="1" customFormat="1" ht="14.5" x14ac:dyDescent="0.35">
      <c r="A58" s="23">
        <v>49</v>
      </c>
      <c r="B58" s="337"/>
      <c r="C58" s="32">
        <v>43343</v>
      </c>
      <c r="D58" s="26">
        <v>830054076</v>
      </c>
      <c r="E58" s="27" t="str">
        <f>VLOOKUP(D58,[1]TERCEROS!$A$2:$C$4000,3,FALSE)</f>
        <v>FIDEICOMISOS SOCIEDAD FIDUCIARIA</v>
      </c>
      <c r="F58" s="28" t="s">
        <v>33</v>
      </c>
      <c r="G58" s="29">
        <v>9700</v>
      </c>
      <c r="H58" s="30"/>
      <c r="I58" s="31">
        <f t="shared" si="0"/>
        <v>9700</v>
      </c>
    </row>
    <row r="59" spans="1:9" s="1" customFormat="1" ht="14.5" x14ac:dyDescent="0.35">
      <c r="A59" s="23">
        <v>50</v>
      </c>
      <c r="B59" s="337"/>
      <c r="C59" s="32">
        <v>43337</v>
      </c>
      <c r="D59" s="26">
        <v>830054076</v>
      </c>
      <c r="E59" s="27" t="str">
        <f>VLOOKUP(D59,[1]TERCEROS!$A$2:$C$4000,3,FALSE)</f>
        <v>FIDEICOMISOS SOCIEDAD FIDUCIARIA</v>
      </c>
      <c r="F59" s="28" t="s">
        <v>33</v>
      </c>
      <c r="G59" s="29">
        <v>9700</v>
      </c>
      <c r="H59" s="30"/>
      <c r="I59" s="31">
        <f t="shared" si="0"/>
        <v>9700</v>
      </c>
    </row>
    <row r="60" spans="1:9" s="1" customFormat="1" ht="14.5" x14ac:dyDescent="0.35">
      <c r="A60" s="23">
        <v>51</v>
      </c>
      <c r="B60" s="337"/>
      <c r="C60" s="32">
        <v>43342</v>
      </c>
      <c r="D60" s="26">
        <v>830054076</v>
      </c>
      <c r="E60" s="27" t="str">
        <f>VLOOKUP(D60,[1]TERCEROS!$A$2:$C$4000,3,FALSE)</f>
        <v>FIDEICOMISOS SOCIEDAD FIDUCIARIA</v>
      </c>
      <c r="F60" s="28" t="s">
        <v>33</v>
      </c>
      <c r="G60" s="29">
        <v>9700</v>
      </c>
      <c r="H60" s="30"/>
      <c r="I60" s="31">
        <f t="shared" si="0"/>
        <v>9700</v>
      </c>
    </row>
    <row r="61" spans="1:9" s="1" customFormat="1" ht="15" thickBot="1" x14ac:dyDescent="0.4">
      <c r="A61" s="23">
        <v>52</v>
      </c>
      <c r="B61" s="337"/>
      <c r="C61" s="32">
        <v>43337</v>
      </c>
      <c r="D61" s="26">
        <v>830054076</v>
      </c>
      <c r="E61" s="27" t="str">
        <f>VLOOKUP(D61,[1]TERCEROS!$A$2:$C$4000,3,FALSE)</f>
        <v>FIDEICOMISOS SOCIEDAD FIDUCIARIA</v>
      </c>
      <c r="F61" s="28" t="s">
        <v>33</v>
      </c>
      <c r="G61" s="29">
        <v>9700</v>
      </c>
      <c r="H61" s="30"/>
      <c r="I61" s="31">
        <f t="shared" si="0"/>
        <v>9700</v>
      </c>
    </row>
    <row r="62" spans="1:9" s="1" customFormat="1" ht="14.5" x14ac:dyDescent="0.35">
      <c r="A62" s="15">
        <v>53</v>
      </c>
      <c r="B62" s="337"/>
      <c r="C62" s="32">
        <v>43343</v>
      </c>
      <c r="D62" s="26">
        <v>800091165</v>
      </c>
      <c r="E62" s="27" t="s">
        <v>69</v>
      </c>
      <c r="F62" s="28" t="s">
        <v>35</v>
      </c>
      <c r="G62" s="29">
        <v>6000</v>
      </c>
      <c r="H62" s="30"/>
      <c r="I62" s="31">
        <f t="shared" si="0"/>
        <v>6000</v>
      </c>
    </row>
    <row r="63" spans="1:9" s="1" customFormat="1" ht="15" thickBot="1" x14ac:dyDescent="0.4">
      <c r="A63" s="23">
        <v>54</v>
      </c>
      <c r="B63" s="337"/>
      <c r="C63" s="32">
        <v>43330</v>
      </c>
      <c r="D63" s="26">
        <v>900491889</v>
      </c>
      <c r="E63" s="27" t="str">
        <f>VLOOKUP(D63,[1]TERCEROS!$A$2:$C$4000,3,FALSE)</f>
        <v>EDS TERMINAL NEIVA</v>
      </c>
      <c r="F63" s="28" t="s">
        <v>68</v>
      </c>
      <c r="G63" s="29">
        <v>17900</v>
      </c>
      <c r="H63" s="30"/>
      <c r="I63" s="31">
        <f t="shared" si="0"/>
        <v>17900</v>
      </c>
    </row>
    <row r="64" spans="1:9" s="1" customFormat="1" ht="14.5" x14ac:dyDescent="0.35">
      <c r="A64" s="15">
        <v>55</v>
      </c>
      <c r="B64" s="337"/>
      <c r="C64" s="32">
        <v>43337</v>
      </c>
      <c r="D64" s="26">
        <v>900454514</v>
      </c>
      <c r="E64" s="27" t="str">
        <f>VLOOKUP(D64,[1]TERCEROS!$A$2:$C$4000,3,FALSE)</f>
        <v>PRODUCTOS Y SERVICIOS CAPITAL</v>
      </c>
      <c r="F64" s="28" t="s">
        <v>62</v>
      </c>
      <c r="G64" s="29">
        <v>40013</v>
      </c>
      <c r="H64" s="30"/>
      <c r="I64" s="31">
        <f t="shared" si="0"/>
        <v>40013</v>
      </c>
    </row>
    <row r="65" spans="1:9" s="1" customFormat="1" ht="14.5" x14ac:dyDescent="0.35">
      <c r="A65" s="23">
        <v>56</v>
      </c>
      <c r="B65" s="337"/>
      <c r="C65" s="32">
        <v>43343</v>
      </c>
      <c r="D65" s="26">
        <v>830054076</v>
      </c>
      <c r="E65" s="27" t="str">
        <f>VLOOKUP(D65,[1]TERCEROS!$A$2:$C$4000,3,FALSE)</f>
        <v>FIDEICOMISOS SOCIEDAD FIDUCIARIA</v>
      </c>
      <c r="F65" s="28" t="s">
        <v>33</v>
      </c>
      <c r="G65" s="29">
        <v>9700</v>
      </c>
      <c r="H65" s="30"/>
      <c r="I65" s="31">
        <f t="shared" si="0"/>
        <v>9700</v>
      </c>
    </row>
    <row r="66" spans="1:9" s="1" customFormat="1" ht="14.5" x14ac:dyDescent="0.35">
      <c r="A66" s="23">
        <v>57</v>
      </c>
      <c r="B66" s="337"/>
      <c r="C66" s="32">
        <v>43342</v>
      </c>
      <c r="D66" s="26">
        <v>830114793</v>
      </c>
      <c r="E66" s="27" t="str">
        <f>VLOOKUP(D66,[1]TERCEROS!$A$2:$C$4000,3,FALSE)</f>
        <v>BRIO MI ESTACION CES LTDA</v>
      </c>
      <c r="F66" s="28" t="s">
        <v>62</v>
      </c>
      <c r="G66" s="29">
        <v>70000</v>
      </c>
      <c r="H66" s="30"/>
      <c r="I66" s="31">
        <f t="shared" si="0"/>
        <v>70000</v>
      </c>
    </row>
    <row r="67" spans="1:9" s="1" customFormat="1" ht="14.5" x14ac:dyDescent="0.35">
      <c r="A67" s="23">
        <v>58</v>
      </c>
      <c r="B67" s="337"/>
      <c r="C67" s="32">
        <v>43337</v>
      </c>
      <c r="D67" s="26">
        <v>900130670</v>
      </c>
      <c r="E67" s="27" t="s">
        <v>89</v>
      </c>
      <c r="F67" s="28" t="s">
        <v>90</v>
      </c>
      <c r="G67" s="29">
        <v>137000</v>
      </c>
      <c r="H67" s="30"/>
      <c r="I67" s="31">
        <f t="shared" si="0"/>
        <v>137000</v>
      </c>
    </row>
    <row r="68" spans="1:9" s="1" customFormat="1" ht="14.5" x14ac:dyDescent="0.35">
      <c r="A68" s="23">
        <v>59</v>
      </c>
      <c r="B68" s="337"/>
      <c r="C68" s="32">
        <v>43328</v>
      </c>
      <c r="D68" s="26">
        <v>830062032</v>
      </c>
      <c r="E68" s="27" t="s">
        <v>91</v>
      </c>
      <c r="F68" s="28" t="s">
        <v>35</v>
      </c>
      <c r="G68" s="29">
        <v>13000</v>
      </c>
      <c r="H68" s="30"/>
      <c r="I68" s="31">
        <f t="shared" si="0"/>
        <v>13000</v>
      </c>
    </row>
    <row r="69" spans="1:9" s="1" customFormat="1" ht="14.5" x14ac:dyDescent="0.35">
      <c r="A69" s="23">
        <v>60</v>
      </c>
      <c r="B69" s="337"/>
      <c r="C69" s="32">
        <v>43341</v>
      </c>
      <c r="D69" s="26">
        <v>38239941</v>
      </c>
      <c r="E69" s="27" t="s">
        <v>92</v>
      </c>
      <c r="F69" s="28" t="s">
        <v>93</v>
      </c>
      <c r="G69" s="29">
        <v>15546</v>
      </c>
      <c r="H69" s="30"/>
      <c r="I69" s="31">
        <f t="shared" si="0"/>
        <v>15546</v>
      </c>
    </row>
    <row r="70" spans="1:9" s="1" customFormat="1" ht="15" thickBot="1" x14ac:dyDescent="0.4">
      <c r="A70" s="23">
        <v>61</v>
      </c>
      <c r="B70" s="337"/>
      <c r="C70" s="32">
        <v>43340</v>
      </c>
      <c r="D70" s="26">
        <v>79265435</v>
      </c>
      <c r="E70" s="27" t="s">
        <v>94</v>
      </c>
      <c r="F70" s="28" t="s">
        <v>95</v>
      </c>
      <c r="G70" s="29">
        <v>42500</v>
      </c>
      <c r="H70" s="30"/>
      <c r="I70" s="31">
        <f t="shared" si="0"/>
        <v>42500</v>
      </c>
    </row>
    <row r="71" spans="1:9" s="1" customFormat="1" ht="14.5" x14ac:dyDescent="0.35">
      <c r="A71" s="15">
        <v>62</v>
      </c>
      <c r="B71" s="337"/>
      <c r="C71" s="32">
        <v>43339</v>
      </c>
      <c r="D71" s="26">
        <v>805017576</v>
      </c>
      <c r="E71" s="27" t="str">
        <f>VLOOKUP(D71,[1]TERCEROS!$A$2:$C$4000,3,FALSE)</f>
        <v>INVERSIONES JUDI</v>
      </c>
      <c r="F71" s="28" t="s">
        <v>62</v>
      </c>
      <c r="G71" s="29">
        <v>30000</v>
      </c>
      <c r="H71" s="30"/>
      <c r="I71" s="31">
        <f t="shared" si="0"/>
        <v>30000</v>
      </c>
    </row>
    <row r="72" spans="1:9" s="1" customFormat="1" ht="15" thickBot="1" x14ac:dyDescent="0.4">
      <c r="A72" s="23">
        <v>63</v>
      </c>
      <c r="B72" s="337"/>
      <c r="C72" s="32">
        <v>43338</v>
      </c>
      <c r="D72" s="26">
        <v>800091165</v>
      </c>
      <c r="E72" s="27" t="s">
        <v>69</v>
      </c>
      <c r="F72" s="28" t="s">
        <v>35</v>
      </c>
      <c r="G72" s="29">
        <v>6000</v>
      </c>
      <c r="H72" s="30"/>
      <c r="I72" s="31">
        <f t="shared" si="0"/>
        <v>6000</v>
      </c>
    </row>
    <row r="73" spans="1:9" s="1" customFormat="1" ht="14.5" x14ac:dyDescent="0.35">
      <c r="A73" s="15">
        <v>64</v>
      </c>
      <c r="B73" s="337"/>
      <c r="C73" s="32">
        <v>43340</v>
      </c>
      <c r="D73" s="26">
        <v>900491889</v>
      </c>
      <c r="E73" s="27" t="str">
        <f>VLOOKUP(D73,[1]TERCEROS!$A$2:$C$4000,3,FALSE)</f>
        <v>EDS TERMINAL NEIVA</v>
      </c>
      <c r="F73" s="28" t="s">
        <v>62</v>
      </c>
      <c r="G73" s="29">
        <v>50000</v>
      </c>
      <c r="H73" s="30"/>
      <c r="I73" s="31">
        <f t="shared" si="0"/>
        <v>50000</v>
      </c>
    </row>
    <row r="74" spans="1:9" s="1" customFormat="1" ht="15" thickBot="1" x14ac:dyDescent="0.4">
      <c r="A74" s="23">
        <v>65</v>
      </c>
      <c r="B74" s="337"/>
      <c r="C74" s="90">
        <v>43342</v>
      </c>
      <c r="D74" s="91">
        <v>2988886</v>
      </c>
      <c r="E74" s="92" t="str">
        <f>VLOOKUP(D74,[1]TERCEROS!$A$2:$C$4000,3,FALSE)</f>
        <v>FONSECA CALDERON EDGAR HERNAN</v>
      </c>
      <c r="F74" s="86" t="s">
        <v>68</v>
      </c>
      <c r="G74" s="87">
        <v>83000</v>
      </c>
      <c r="H74" s="88"/>
      <c r="I74" s="89">
        <f t="shared" si="0"/>
        <v>83000</v>
      </c>
    </row>
    <row r="75" spans="1:9" s="1" customFormat="1" ht="14.5" x14ac:dyDescent="0.35">
      <c r="A75" s="23">
        <v>66</v>
      </c>
      <c r="B75" s="340" t="s">
        <v>98</v>
      </c>
      <c r="C75" s="107">
        <v>43340</v>
      </c>
      <c r="D75" s="17">
        <v>1032400735</v>
      </c>
      <c r="E75" s="18" t="s">
        <v>96</v>
      </c>
      <c r="F75" s="19" t="s">
        <v>97</v>
      </c>
      <c r="G75" s="20">
        <v>130000</v>
      </c>
      <c r="H75" s="21"/>
      <c r="I75" s="22">
        <f t="shared" si="0"/>
        <v>130000</v>
      </c>
    </row>
    <row r="76" spans="1:9" s="1" customFormat="1" ht="15" thickBot="1" x14ac:dyDescent="0.4">
      <c r="A76" s="23">
        <v>67</v>
      </c>
      <c r="B76" s="346"/>
      <c r="C76" s="109">
        <v>43340</v>
      </c>
      <c r="D76" s="110">
        <v>1032395430</v>
      </c>
      <c r="E76" s="111" t="str">
        <f>VLOOKUP(D76,[1]TERCEROS!$A$2:$C$4000,3,FALSE)</f>
        <v xml:space="preserve">OMAR VILLAMIL </v>
      </c>
      <c r="F76" s="112" t="s">
        <v>97</v>
      </c>
      <c r="G76" s="113">
        <v>130000</v>
      </c>
      <c r="H76" s="114"/>
      <c r="I76" s="115">
        <f t="shared" si="0"/>
        <v>130000</v>
      </c>
    </row>
    <row r="77" spans="1:9" s="1" customFormat="1" ht="14.5" x14ac:dyDescent="0.35">
      <c r="A77" s="23">
        <v>68</v>
      </c>
      <c r="B77" s="349" t="s">
        <v>32</v>
      </c>
      <c r="C77" s="133">
        <v>43340</v>
      </c>
      <c r="D77" s="120">
        <v>1032400735</v>
      </c>
      <c r="E77" s="121" t="s">
        <v>96</v>
      </c>
      <c r="F77" s="122" t="s">
        <v>99</v>
      </c>
      <c r="G77" s="123">
        <v>140000</v>
      </c>
      <c r="H77" s="124"/>
      <c r="I77" s="125">
        <f t="shared" si="0"/>
        <v>140000</v>
      </c>
    </row>
    <row r="78" spans="1:9" s="1" customFormat="1" ht="14.5" x14ac:dyDescent="0.35">
      <c r="A78" s="23">
        <v>69</v>
      </c>
      <c r="B78" s="350"/>
      <c r="C78" s="32">
        <v>43342</v>
      </c>
      <c r="D78" s="26">
        <v>1032400735</v>
      </c>
      <c r="E78" s="27" t="s">
        <v>96</v>
      </c>
      <c r="F78" s="28" t="s">
        <v>99</v>
      </c>
      <c r="G78" s="29">
        <v>70000</v>
      </c>
      <c r="H78" s="30"/>
      <c r="I78" s="31">
        <f t="shared" si="0"/>
        <v>70000</v>
      </c>
    </row>
    <row r="79" spans="1:9" s="1" customFormat="1" ht="18.75" customHeight="1" thickBot="1" x14ac:dyDescent="0.4">
      <c r="A79" s="23">
        <v>70</v>
      </c>
      <c r="B79" s="350"/>
      <c r="C79" s="32">
        <v>43341</v>
      </c>
      <c r="D79" s="26">
        <v>900459737</v>
      </c>
      <c r="E79" s="27" t="str">
        <f>VLOOKUP(D79,[1]TERCEROS!$A$2:$C$4000,3,FALSE)</f>
        <v>GRUPO EDS AUTOGAS SAS</v>
      </c>
      <c r="F79" s="28" t="s">
        <v>62</v>
      </c>
      <c r="G79" s="29">
        <v>50000</v>
      </c>
      <c r="H79" s="30"/>
      <c r="I79" s="31">
        <f t="shared" si="0"/>
        <v>50000</v>
      </c>
    </row>
    <row r="80" spans="1:9" s="1" customFormat="1" ht="18.75" customHeight="1" x14ac:dyDescent="0.35">
      <c r="A80" s="15">
        <v>71</v>
      </c>
      <c r="B80" s="350"/>
      <c r="C80" s="32">
        <v>43342</v>
      </c>
      <c r="D80" s="26">
        <v>1077032709</v>
      </c>
      <c r="E80" s="27" t="s">
        <v>100</v>
      </c>
      <c r="F80" s="28" t="s">
        <v>101</v>
      </c>
      <c r="G80" s="29">
        <v>36100</v>
      </c>
      <c r="H80" s="88"/>
      <c r="I80" s="31">
        <f t="shared" si="0"/>
        <v>36100</v>
      </c>
    </row>
    <row r="81" spans="1:9" s="1" customFormat="1" ht="18.75" customHeight="1" thickBot="1" x14ac:dyDescent="0.4">
      <c r="A81" s="23">
        <v>72</v>
      </c>
      <c r="B81" s="350"/>
      <c r="C81" s="32">
        <v>43340</v>
      </c>
      <c r="D81" s="26">
        <v>800091165</v>
      </c>
      <c r="E81" s="27" t="s">
        <v>69</v>
      </c>
      <c r="F81" s="28" t="s">
        <v>35</v>
      </c>
      <c r="G81" s="29">
        <v>6000</v>
      </c>
      <c r="H81" s="88"/>
      <c r="I81" s="31">
        <f t="shared" si="0"/>
        <v>6000</v>
      </c>
    </row>
    <row r="82" spans="1:9" s="1" customFormat="1" ht="18.75" customHeight="1" x14ac:dyDescent="0.35">
      <c r="A82" s="15">
        <v>73</v>
      </c>
      <c r="B82" s="350"/>
      <c r="C82" s="32">
        <v>43345</v>
      </c>
      <c r="D82" s="26">
        <v>900459737</v>
      </c>
      <c r="E82" s="27" t="str">
        <f>VLOOKUP(D82,[1]TERCEROS!$A$2:$C$4000,3,FALSE)</f>
        <v>GRUPO EDS AUTOGAS SAS</v>
      </c>
      <c r="F82" s="28" t="s">
        <v>62</v>
      </c>
      <c r="G82" s="29">
        <v>30000</v>
      </c>
      <c r="H82" s="88"/>
      <c r="I82" s="31">
        <f t="shared" si="0"/>
        <v>30000</v>
      </c>
    </row>
    <row r="83" spans="1:9" s="1" customFormat="1" ht="18.75" customHeight="1" x14ac:dyDescent="0.35">
      <c r="A83" s="23">
        <v>74</v>
      </c>
      <c r="B83" s="350"/>
      <c r="C83" s="32">
        <v>43342</v>
      </c>
      <c r="D83" s="26">
        <v>2983169</v>
      </c>
      <c r="E83" s="27" t="s">
        <v>102</v>
      </c>
      <c r="F83" s="28" t="s">
        <v>103</v>
      </c>
      <c r="G83" s="29">
        <v>66600</v>
      </c>
      <c r="H83" s="88"/>
      <c r="I83" s="31">
        <f t="shared" si="0"/>
        <v>66600</v>
      </c>
    </row>
    <row r="84" spans="1:9" s="1" customFormat="1" ht="18.75" customHeight="1" x14ac:dyDescent="0.35">
      <c r="A84" s="23">
        <v>75</v>
      </c>
      <c r="B84" s="350"/>
      <c r="C84" s="32">
        <v>43330</v>
      </c>
      <c r="D84" s="26">
        <v>890107487</v>
      </c>
      <c r="E84" s="27" t="str">
        <f>VLOOKUP(D84,[1]TERCEROS!$A$2:$C$4000,3,FALSE)</f>
        <v>OLIMPICA SA</v>
      </c>
      <c r="F84" s="28" t="s">
        <v>104</v>
      </c>
      <c r="G84" s="29">
        <v>12767</v>
      </c>
      <c r="H84" s="88"/>
      <c r="I84" s="31">
        <f t="shared" si="0"/>
        <v>12767</v>
      </c>
    </row>
    <row r="85" spans="1:9" s="1" customFormat="1" ht="18.75" customHeight="1" x14ac:dyDescent="0.35">
      <c r="A85" s="23">
        <v>76</v>
      </c>
      <c r="B85" s="350"/>
      <c r="C85" s="90">
        <v>43334</v>
      </c>
      <c r="D85" s="91">
        <v>900491889</v>
      </c>
      <c r="E85" s="27" t="str">
        <f>VLOOKUP(D85,[1]TERCEROS!$A$2:$C$4000,3,FALSE)</f>
        <v>EDS TERMINAL NEIVA</v>
      </c>
      <c r="F85" s="86" t="s">
        <v>105</v>
      </c>
      <c r="G85" s="87">
        <v>74600</v>
      </c>
      <c r="H85" s="88"/>
      <c r="I85" s="89">
        <f t="shared" si="0"/>
        <v>74600</v>
      </c>
    </row>
    <row r="86" spans="1:9" s="1" customFormat="1" ht="18.75" customHeight="1" x14ac:dyDescent="0.35">
      <c r="A86" s="23">
        <v>77</v>
      </c>
      <c r="B86" s="350"/>
      <c r="C86" s="90">
        <v>43343</v>
      </c>
      <c r="D86" s="91">
        <v>830054076</v>
      </c>
      <c r="E86" s="27" t="str">
        <f>VLOOKUP(D86,[1]TERCEROS!$A$2:$C$4000,3,FALSE)</f>
        <v>FIDEICOMISOS SOCIEDAD FIDUCIARIA</v>
      </c>
      <c r="F86" s="86" t="s">
        <v>33</v>
      </c>
      <c r="G86" s="87">
        <v>19400</v>
      </c>
      <c r="H86" s="88"/>
      <c r="I86" s="89">
        <f t="shared" si="0"/>
        <v>19400</v>
      </c>
    </row>
    <row r="87" spans="1:9" s="1" customFormat="1" ht="18.75" customHeight="1" x14ac:dyDescent="0.35">
      <c r="A87" s="23">
        <v>78</v>
      </c>
      <c r="B87" s="350"/>
      <c r="C87" s="90">
        <v>43340</v>
      </c>
      <c r="D87" s="91">
        <v>52161504</v>
      </c>
      <c r="E87" s="27" t="s">
        <v>106</v>
      </c>
      <c r="F87" s="86" t="s">
        <v>107</v>
      </c>
      <c r="G87" s="87">
        <v>10000</v>
      </c>
      <c r="H87" s="88"/>
      <c r="I87" s="89">
        <f t="shared" si="0"/>
        <v>10000</v>
      </c>
    </row>
    <row r="88" spans="1:9" s="1" customFormat="1" ht="18.75" customHeight="1" x14ac:dyDescent="0.35">
      <c r="A88" s="23">
        <v>79</v>
      </c>
      <c r="B88" s="350"/>
      <c r="C88" s="90">
        <v>43341</v>
      </c>
      <c r="D88" s="91">
        <v>79981003</v>
      </c>
      <c r="E88" s="27" t="str">
        <f>VLOOKUP(D88,[1]TERCEROS!$A$2:$C$4000,3,FALSE)</f>
        <v>JAIME FERNANDO BELTRAN MORA</v>
      </c>
      <c r="F88" s="86" t="s">
        <v>48</v>
      </c>
      <c r="G88" s="87">
        <v>15000</v>
      </c>
      <c r="H88" s="88"/>
      <c r="I88" s="89">
        <f t="shared" si="0"/>
        <v>15000</v>
      </c>
    </row>
    <row r="89" spans="1:9" s="1" customFormat="1" ht="18.75" customHeight="1" x14ac:dyDescent="0.35">
      <c r="A89" s="23">
        <v>80</v>
      </c>
      <c r="B89" s="350"/>
      <c r="C89" s="90">
        <v>43341</v>
      </c>
      <c r="D89" s="91">
        <v>72151045</v>
      </c>
      <c r="E89" s="27" t="str">
        <f>VLOOKUP(D89,[1]TERCEROS!$A$2:$C$4000,3,FALSE)</f>
        <v>EDINSON ROMERO</v>
      </c>
      <c r="F89" s="86" t="s">
        <v>48</v>
      </c>
      <c r="G89" s="87">
        <v>14000</v>
      </c>
      <c r="H89" s="88"/>
      <c r="I89" s="89">
        <f t="shared" si="0"/>
        <v>14000</v>
      </c>
    </row>
    <row r="90" spans="1:9" s="1" customFormat="1" ht="18.75" customHeight="1" x14ac:dyDescent="0.35">
      <c r="A90" s="23">
        <v>81</v>
      </c>
      <c r="B90" s="350"/>
      <c r="C90" s="90">
        <v>43343</v>
      </c>
      <c r="D90" s="91">
        <v>1020796583</v>
      </c>
      <c r="E90" s="27" t="s">
        <v>108</v>
      </c>
      <c r="F90" s="86" t="s">
        <v>109</v>
      </c>
      <c r="G90" s="87">
        <v>100000</v>
      </c>
      <c r="H90" s="88"/>
      <c r="I90" s="89">
        <f t="shared" si="0"/>
        <v>100000</v>
      </c>
    </row>
    <row r="91" spans="1:9" s="1" customFormat="1" ht="18.75" customHeight="1" x14ac:dyDescent="0.35">
      <c r="A91" s="23">
        <v>82</v>
      </c>
      <c r="B91" s="350"/>
      <c r="C91" s="90">
        <v>43342</v>
      </c>
      <c r="D91" s="91">
        <v>222222222</v>
      </c>
      <c r="E91" s="27" t="str">
        <f>VLOOKUP(D91,[1]TERCEROS!$A$2:$C$4000,3,FALSE)</f>
        <v>CUANTIAS MINIMAS</v>
      </c>
      <c r="F91" s="86" t="s">
        <v>110</v>
      </c>
      <c r="G91" s="87">
        <v>7000</v>
      </c>
      <c r="H91" s="88"/>
      <c r="I91" s="89">
        <f t="shared" si="0"/>
        <v>7000</v>
      </c>
    </row>
    <row r="92" spans="1:9" s="1" customFormat="1" ht="18.75" customHeight="1" x14ac:dyDescent="0.35">
      <c r="A92" s="23">
        <v>83</v>
      </c>
      <c r="B92" s="350"/>
      <c r="C92" s="90">
        <v>43314</v>
      </c>
      <c r="D92" s="91">
        <v>830054076</v>
      </c>
      <c r="E92" s="27" t="str">
        <f>VLOOKUP(D92,[1]TERCEROS!$A$2:$C$4000,3,FALSE)</f>
        <v>FIDEICOMISOS SOCIEDAD FIDUCIARIA</v>
      </c>
      <c r="F92" s="86" t="s">
        <v>33</v>
      </c>
      <c r="G92" s="87">
        <v>9700</v>
      </c>
      <c r="H92" s="88"/>
      <c r="I92" s="89">
        <f t="shared" si="0"/>
        <v>9700</v>
      </c>
    </row>
    <row r="93" spans="1:9" s="1" customFormat="1" ht="18.75" customHeight="1" x14ac:dyDescent="0.35">
      <c r="A93" s="23">
        <v>84</v>
      </c>
      <c r="B93" s="350"/>
      <c r="C93" s="90">
        <v>43344</v>
      </c>
      <c r="D93" s="91">
        <v>52898111</v>
      </c>
      <c r="E93" s="27" t="s">
        <v>111</v>
      </c>
      <c r="F93" s="86" t="s">
        <v>112</v>
      </c>
      <c r="G93" s="87">
        <v>40000</v>
      </c>
      <c r="H93" s="88"/>
      <c r="I93" s="89">
        <f t="shared" si="0"/>
        <v>40000</v>
      </c>
    </row>
    <row r="94" spans="1:9" s="1" customFormat="1" ht="18.75" customHeight="1" x14ac:dyDescent="0.35">
      <c r="A94" s="23">
        <v>85</v>
      </c>
      <c r="B94" s="350"/>
      <c r="C94" s="90">
        <v>43345</v>
      </c>
      <c r="D94" s="91">
        <v>51874579</v>
      </c>
      <c r="E94" s="27" t="s">
        <v>113</v>
      </c>
      <c r="F94" s="86" t="s">
        <v>70</v>
      </c>
      <c r="G94" s="87">
        <v>12000</v>
      </c>
      <c r="H94" s="88"/>
      <c r="I94" s="89">
        <f t="shared" si="0"/>
        <v>12000</v>
      </c>
    </row>
    <row r="95" spans="1:9" s="1" customFormat="1" ht="18.75" customHeight="1" x14ac:dyDescent="0.35">
      <c r="A95" s="23">
        <v>86</v>
      </c>
      <c r="B95" s="350"/>
      <c r="C95" s="90">
        <v>43340</v>
      </c>
      <c r="D95" s="91">
        <v>830054076</v>
      </c>
      <c r="E95" s="92" t="str">
        <f>VLOOKUP(D95,[1]TERCEROS!$A$2:$C$4000,3,FALSE)</f>
        <v>FIDEICOMISOS SOCIEDAD FIDUCIARIA</v>
      </c>
      <c r="F95" s="86" t="s">
        <v>33</v>
      </c>
      <c r="G95" s="87">
        <v>9700</v>
      </c>
      <c r="H95" s="88"/>
      <c r="I95" s="89">
        <f t="shared" si="0"/>
        <v>9700</v>
      </c>
    </row>
    <row r="96" spans="1:9" s="1" customFormat="1" ht="18.75" customHeight="1" thickBot="1" x14ac:dyDescent="0.4">
      <c r="A96" s="23">
        <v>87</v>
      </c>
      <c r="B96" s="351"/>
      <c r="C96" s="134">
        <v>43346</v>
      </c>
      <c r="D96" s="135">
        <v>900754508</v>
      </c>
      <c r="E96" s="136" t="s">
        <v>40</v>
      </c>
      <c r="F96" s="137" t="s">
        <v>120</v>
      </c>
      <c r="G96" s="138">
        <v>142500</v>
      </c>
      <c r="H96" s="139"/>
      <c r="I96" s="140">
        <f t="shared" si="0"/>
        <v>142500</v>
      </c>
    </row>
    <row r="97" spans="1:37" s="1" customFormat="1" ht="18.75" customHeight="1" x14ac:dyDescent="0.35">
      <c r="A97" s="23">
        <v>88</v>
      </c>
      <c r="B97" s="340" t="s">
        <v>114</v>
      </c>
      <c r="C97" s="126">
        <v>43342</v>
      </c>
      <c r="D97" s="127">
        <v>830054076</v>
      </c>
      <c r="E97" s="18" t="str">
        <f>VLOOKUP(D97,[1]TERCEROS!$A$2:$C$4000,3,FALSE)</f>
        <v>FIDEICOMISOS SOCIEDAD FIDUCIARIA</v>
      </c>
      <c r="F97" s="128" t="s">
        <v>39</v>
      </c>
      <c r="G97" s="129">
        <v>15800</v>
      </c>
      <c r="H97" s="130"/>
      <c r="I97" s="131">
        <f t="shared" si="0"/>
        <v>15800</v>
      </c>
    </row>
    <row r="98" spans="1:37" s="1" customFormat="1" ht="18.75" customHeight="1" x14ac:dyDescent="0.35">
      <c r="A98" s="23">
        <v>89</v>
      </c>
      <c r="B98" s="341"/>
      <c r="C98" s="132">
        <v>43340</v>
      </c>
      <c r="D98" s="91">
        <v>900676165</v>
      </c>
      <c r="E98" s="27" t="str">
        <f>VLOOKUP(D98,[1]TERCEROS!$A$2:$C$4000,3,FALSE)</f>
        <v>UBER COLOMBIA SAS</v>
      </c>
      <c r="F98" s="86" t="s">
        <v>39</v>
      </c>
      <c r="G98" s="87">
        <v>24000</v>
      </c>
      <c r="H98" s="88"/>
      <c r="I98" s="89">
        <f t="shared" si="0"/>
        <v>24000</v>
      </c>
    </row>
    <row r="99" spans="1:37" s="1" customFormat="1" ht="18.75" customHeight="1" thickBot="1" x14ac:dyDescent="0.4">
      <c r="A99" s="23">
        <v>90</v>
      </c>
      <c r="B99" s="346"/>
      <c r="C99" s="132">
        <v>43340</v>
      </c>
      <c r="D99" s="91">
        <v>900676165</v>
      </c>
      <c r="E99" s="92" t="str">
        <f>VLOOKUP(D99,[1]TERCEROS!$A$2:$C$4000,3,FALSE)</f>
        <v>UBER COLOMBIA SAS</v>
      </c>
      <c r="F99" s="86" t="s">
        <v>39</v>
      </c>
      <c r="G99" s="87">
        <v>19000</v>
      </c>
      <c r="H99" s="88"/>
      <c r="I99" s="89">
        <f t="shared" si="0"/>
        <v>19000</v>
      </c>
    </row>
    <row r="100" spans="1:37" s="1" customFormat="1" ht="18.75" customHeight="1" x14ac:dyDescent="0.35">
      <c r="A100" s="23">
        <v>91</v>
      </c>
      <c r="B100" s="347" t="s">
        <v>115</v>
      </c>
      <c r="C100" s="107">
        <v>43340</v>
      </c>
      <c r="D100" s="17">
        <v>1014227901</v>
      </c>
      <c r="E100" s="18" t="str">
        <f>VLOOKUP(D100,[1]TERCEROS!$A$2:$C$4000,3,FALSE)</f>
        <v>ESTEFANY ALEXANDRA NOVOA VARGAS</v>
      </c>
      <c r="F100" s="19" t="s">
        <v>116</v>
      </c>
      <c r="G100" s="20">
        <v>37300</v>
      </c>
      <c r="H100" s="21"/>
      <c r="I100" s="22">
        <f t="shared" si="0"/>
        <v>37300</v>
      </c>
    </row>
    <row r="101" spans="1:37" s="1" customFormat="1" ht="18.75" customHeight="1" thickBot="1" x14ac:dyDescent="0.4">
      <c r="A101" s="23">
        <v>92</v>
      </c>
      <c r="B101" s="348"/>
      <c r="C101" s="109">
        <v>43340</v>
      </c>
      <c r="D101" s="110"/>
      <c r="E101" s="111" t="s">
        <v>76</v>
      </c>
      <c r="F101" s="112" t="s">
        <v>77</v>
      </c>
      <c r="G101" s="113">
        <v>500000</v>
      </c>
      <c r="H101" s="114"/>
      <c r="I101" s="115">
        <f t="shared" si="0"/>
        <v>500000</v>
      </c>
    </row>
    <row r="102" spans="1:37" s="2" customFormat="1" ht="15.75" customHeight="1" thickBot="1" x14ac:dyDescent="0.4">
      <c r="A102" s="335">
        <v>43346</v>
      </c>
      <c r="B102" s="329"/>
      <c r="C102" s="329"/>
      <c r="D102" s="329"/>
      <c r="E102" s="330"/>
      <c r="F102" s="93" t="s">
        <v>24</v>
      </c>
      <c r="G102" s="94">
        <f>SUM(G10:G101)</f>
        <v>2785526</v>
      </c>
      <c r="H102" s="94"/>
      <c r="I102" s="94">
        <f>SUM(I10:I101)</f>
        <v>2785526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s="2" customFormat="1" ht="15" customHeight="1" x14ac:dyDescent="0.35">
      <c r="A103" s="300" t="s">
        <v>26</v>
      </c>
      <c r="B103" s="301"/>
      <c r="C103" s="301"/>
      <c r="D103" s="306" t="s">
        <v>58</v>
      </c>
      <c r="E103" s="307"/>
      <c r="F103" s="312"/>
      <c r="G103" s="315" t="s">
        <v>16</v>
      </c>
      <c r="H103" s="316"/>
      <c r="I103" s="35">
        <v>3000000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2" customFormat="1" ht="15" customHeight="1" x14ac:dyDescent="0.35">
      <c r="A104" s="302"/>
      <c r="B104" s="303"/>
      <c r="C104" s="303"/>
      <c r="D104" s="308"/>
      <c r="E104" s="309"/>
      <c r="F104" s="313"/>
      <c r="G104" s="317" t="s">
        <v>17</v>
      </c>
      <c r="H104" s="318"/>
      <c r="I104" s="36">
        <f>+I103-I102</f>
        <v>214474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s="1" customFormat="1" ht="15.75" customHeight="1" thickBot="1" x14ac:dyDescent="0.4">
      <c r="A105" s="304"/>
      <c r="B105" s="305"/>
      <c r="C105" s="305"/>
      <c r="D105" s="310"/>
      <c r="E105" s="311"/>
      <c r="F105" s="314"/>
      <c r="G105" s="289" t="s">
        <v>5</v>
      </c>
      <c r="H105" s="290"/>
      <c r="I105" s="37">
        <f>+I103-I104</f>
        <v>2785526</v>
      </c>
    </row>
    <row r="106" spans="1:37" s="1" customFormat="1" ht="15" thickBot="1" x14ac:dyDescent="0.4">
      <c r="A106" s="291" t="s">
        <v>25</v>
      </c>
      <c r="B106" s="292"/>
      <c r="C106" s="292"/>
      <c r="D106" s="293"/>
      <c r="E106" s="38"/>
      <c r="F106" s="38"/>
      <c r="G106" s="38"/>
      <c r="H106" s="38"/>
      <c r="I106" s="39"/>
    </row>
    <row r="107" spans="1:37" s="1" customFormat="1" ht="15" thickBot="1" x14ac:dyDescent="0.4">
      <c r="A107" s="40"/>
      <c r="B107" s="41" t="s">
        <v>6</v>
      </c>
      <c r="C107" s="42">
        <f>D124</f>
        <v>52500</v>
      </c>
      <c r="D107" s="39"/>
      <c r="E107" s="43">
        <f>C107+C111+I102</f>
        <v>3000026</v>
      </c>
      <c r="F107" s="43"/>
      <c r="G107" s="38"/>
      <c r="H107" s="38"/>
      <c r="I107" s="44"/>
    </row>
    <row r="108" spans="1:37" s="1" customFormat="1" ht="15" thickBot="1" x14ac:dyDescent="0.4">
      <c r="A108" s="40"/>
      <c r="B108" s="41" t="s">
        <v>117</v>
      </c>
      <c r="C108" s="42">
        <v>20000</v>
      </c>
      <c r="D108" s="39"/>
      <c r="E108" s="43"/>
      <c r="F108" s="43"/>
      <c r="G108" s="38"/>
      <c r="H108" s="38"/>
      <c r="I108" s="44"/>
    </row>
    <row r="109" spans="1:37" s="1" customFormat="1" ht="15" thickBot="1" x14ac:dyDescent="0.4">
      <c r="A109" s="40"/>
      <c r="B109" s="41" t="s">
        <v>118</v>
      </c>
      <c r="C109" s="45">
        <v>100000</v>
      </c>
      <c r="D109" s="39"/>
      <c r="E109" s="43">
        <f>+E107-I103</f>
        <v>26</v>
      </c>
      <c r="F109" s="38"/>
      <c r="G109" s="38"/>
      <c r="H109" s="38"/>
      <c r="I109" s="39"/>
    </row>
    <row r="110" spans="1:37" s="1" customFormat="1" ht="15" thickBot="1" x14ac:dyDescent="0.4">
      <c r="A110" s="40"/>
      <c r="B110" s="46" t="s">
        <v>119</v>
      </c>
      <c r="C110" s="45">
        <v>42000</v>
      </c>
      <c r="D110" s="39"/>
      <c r="E110" s="43"/>
      <c r="F110" s="38"/>
      <c r="G110" s="38"/>
      <c r="H110" s="38"/>
      <c r="I110" s="39"/>
    </row>
    <row r="111" spans="1:37" s="1" customFormat="1" ht="15" thickBot="1" x14ac:dyDescent="0.4">
      <c r="A111" s="40"/>
      <c r="B111" s="47" t="s">
        <v>7</v>
      </c>
      <c r="C111" s="45">
        <f>SUM(C108:C110)</f>
        <v>162000</v>
      </c>
      <c r="D111" s="39"/>
      <c r="E111" s="48"/>
      <c r="F111" s="48"/>
      <c r="G111" s="48"/>
      <c r="H111" s="48"/>
      <c r="I111" s="49"/>
    </row>
    <row r="112" spans="1:37" s="1" customFormat="1" ht="15" thickBot="1" x14ac:dyDescent="0.4">
      <c r="A112" s="40"/>
      <c r="B112" s="50"/>
      <c r="C112" s="51"/>
      <c r="D112" s="39"/>
      <c r="E112" s="48"/>
      <c r="F112" s="48"/>
      <c r="G112" s="48"/>
      <c r="H112" s="48"/>
      <c r="I112" s="49"/>
    </row>
    <row r="113" spans="1:37" s="1" customFormat="1" ht="15" thickBot="1" x14ac:dyDescent="0.4">
      <c r="A113" s="40"/>
      <c r="B113" s="52"/>
      <c r="C113" s="53" t="s">
        <v>11</v>
      </c>
      <c r="D113" s="54" t="s">
        <v>4</v>
      </c>
      <c r="E113" s="38"/>
      <c r="F113" s="55"/>
      <c r="G113" s="38"/>
      <c r="H113" s="38"/>
      <c r="I113" s="39"/>
    </row>
    <row r="114" spans="1:37" s="1" customFormat="1" ht="14.5" x14ac:dyDescent="0.35">
      <c r="A114" s="40"/>
      <c r="B114" s="56">
        <v>1</v>
      </c>
      <c r="C114" s="57">
        <v>50000</v>
      </c>
      <c r="D114" s="58">
        <f t="shared" ref="D114:D123" si="1">+C114*B114</f>
        <v>50000</v>
      </c>
      <c r="E114" s="104" t="s">
        <v>29</v>
      </c>
      <c r="F114" s="60" t="s">
        <v>27</v>
      </c>
      <c r="G114" s="294" t="s">
        <v>28</v>
      </c>
      <c r="H114" s="294"/>
      <c r="I114" s="295"/>
    </row>
    <row r="115" spans="1:37" s="5" customFormat="1" ht="15" customHeight="1" x14ac:dyDescent="0.35">
      <c r="A115" s="40"/>
      <c r="B115" s="62"/>
      <c r="C115" s="63">
        <v>20000</v>
      </c>
      <c r="D115" s="58">
        <f t="shared" si="1"/>
        <v>0</v>
      </c>
      <c r="E115" s="102" t="s">
        <v>19</v>
      </c>
      <c r="F115" s="102" t="s">
        <v>20</v>
      </c>
      <c r="G115" s="296" t="s">
        <v>21</v>
      </c>
      <c r="H115" s="296"/>
      <c r="I115" s="29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s="5" customFormat="1" ht="15" customHeight="1" x14ac:dyDescent="0.35">
      <c r="A116" s="40"/>
      <c r="B116" s="62"/>
      <c r="C116" s="63">
        <v>10000</v>
      </c>
      <c r="D116" s="58">
        <f t="shared" si="1"/>
        <v>0</v>
      </c>
      <c r="E116" s="103" t="s">
        <v>79</v>
      </c>
      <c r="F116" s="103" t="s">
        <v>80</v>
      </c>
      <c r="G116" s="298" t="s">
        <v>81</v>
      </c>
      <c r="H116" s="298"/>
      <c r="I116" s="29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s="5" customFormat="1" ht="15" customHeight="1" x14ac:dyDescent="0.35">
      <c r="A117" s="40"/>
      <c r="B117" s="62"/>
      <c r="C117" s="63">
        <v>5000</v>
      </c>
      <c r="D117" s="58">
        <f t="shared" si="1"/>
        <v>0</v>
      </c>
      <c r="E117" s="38" t="s">
        <v>0</v>
      </c>
      <c r="F117" s="38"/>
      <c r="G117" s="38"/>
      <c r="H117" s="38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s="5" customFormat="1" ht="15" customHeight="1" x14ac:dyDescent="0.35">
      <c r="A118" s="40"/>
      <c r="B118" s="62">
        <v>1</v>
      </c>
      <c r="C118" s="63">
        <v>2000</v>
      </c>
      <c r="D118" s="58">
        <f t="shared" si="1"/>
        <v>2000</v>
      </c>
      <c r="E118" s="38"/>
      <c r="F118" s="38" t="s">
        <v>8</v>
      </c>
      <c r="G118" s="38"/>
      <c r="H118" s="38"/>
      <c r="I118" s="3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s="5" customFormat="1" ht="15" customHeight="1" x14ac:dyDescent="0.35">
      <c r="A119" s="40"/>
      <c r="B119" s="62"/>
      <c r="C119" s="63">
        <v>1000</v>
      </c>
      <c r="D119" s="58">
        <f t="shared" si="1"/>
        <v>0</v>
      </c>
      <c r="E119" s="38"/>
      <c r="F119" s="38"/>
      <c r="G119" s="38"/>
      <c r="H119" s="38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s="1" customFormat="1" ht="15" customHeight="1" x14ac:dyDescent="0.35">
      <c r="A120" s="40"/>
      <c r="B120" s="62"/>
      <c r="C120" s="63">
        <v>500</v>
      </c>
      <c r="D120" s="58">
        <f t="shared" si="1"/>
        <v>0</v>
      </c>
      <c r="E120" s="38"/>
      <c r="F120" s="38"/>
      <c r="G120" s="38"/>
      <c r="H120" s="38"/>
      <c r="I120" s="39"/>
    </row>
    <row r="121" spans="1:37" s="1" customFormat="1" ht="15" customHeight="1" x14ac:dyDescent="0.35">
      <c r="A121" s="40"/>
      <c r="B121" s="62">
        <v>2</v>
      </c>
      <c r="C121" s="63">
        <v>200</v>
      </c>
      <c r="D121" s="58">
        <f t="shared" si="1"/>
        <v>400</v>
      </c>
      <c r="E121" s="38"/>
      <c r="F121" s="38"/>
      <c r="G121" s="38"/>
      <c r="H121" s="38"/>
      <c r="I121" s="39"/>
    </row>
    <row r="122" spans="1:37" s="1" customFormat="1" ht="15" customHeight="1" x14ac:dyDescent="0.35">
      <c r="A122" s="40"/>
      <c r="B122" s="62"/>
      <c r="C122" s="63">
        <v>100</v>
      </c>
      <c r="D122" s="58">
        <f>+C122*B122</f>
        <v>0</v>
      </c>
      <c r="E122" s="38"/>
      <c r="F122" s="38"/>
      <c r="G122" s="38"/>
      <c r="H122" s="38"/>
      <c r="I122" s="39"/>
    </row>
    <row r="123" spans="1:37" s="5" customFormat="1" ht="15" customHeight="1" thickBot="1" x14ac:dyDescent="0.4">
      <c r="A123" s="40"/>
      <c r="B123" s="68">
        <v>2</v>
      </c>
      <c r="C123" s="69">
        <v>50</v>
      </c>
      <c r="D123" s="58">
        <f t="shared" si="1"/>
        <v>100</v>
      </c>
      <c r="E123" s="38"/>
      <c r="F123" s="38"/>
      <c r="G123" s="38"/>
      <c r="H123" s="38"/>
      <c r="I123" s="3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s="1" customFormat="1" ht="15" customHeight="1" thickBot="1" x14ac:dyDescent="0.4">
      <c r="A124" s="40"/>
      <c r="B124" s="104"/>
      <c r="C124" s="70"/>
      <c r="D124" s="71">
        <f>SUM(D114:D123)</f>
        <v>52500</v>
      </c>
      <c r="E124" s="38"/>
      <c r="F124" s="38"/>
      <c r="G124" s="38"/>
      <c r="H124" s="38"/>
      <c r="I124" s="39"/>
    </row>
    <row r="125" spans="1:37" s="5" customFormat="1" ht="15" customHeight="1" thickBot="1" x14ac:dyDescent="0.4">
      <c r="A125" s="72"/>
      <c r="B125" s="73"/>
      <c r="C125" s="74"/>
      <c r="D125" s="75"/>
      <c r="E125" s="76"/>
      <c r="F125" s="76"/>
      <c r="G125" s="76"/>
      <c r="H125" s="76"/>
      <c r="I125" s="7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s="5" customFormat="1" ht="22.5" customHeight="1" x14ac:dyDescent="0.35">
      <c r="A126" s="1"/>
      <c r="B126"/>
      <c r="C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s="3" customFormat="1" ht="22.5" customHeight="1" x14ac:dyDescent="0.35">
      <c r="A127"/>
      <c r="B127"/>
      <c r="C127" s="6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 s="3" customFormat="1" ht="22.5" customHeight="1" x14ac:dyDescent="0.35">
      <c r="A128"/>
      <c r="B128"/>
      <c r="C128" s="6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 s="3" customFormat="1" ht="22.5" customHeight="1" x14ac:dyDescent="0.35">
      <c r="A129"/>
      <c r="B129"/>
      <c r="C129" s="6"/>
      <c r="D129" s="7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</sheetData>
  <mergeCells count="25">
    <mergeCell ref="G116:I116"/>
    <mergeCell ref="B10:B74"/>
    <mergeCell ref="B75:B76"/>
    <mergeCell ref="B97:B99"/>
    <mergeCell ref="G103:H103"/>
    <mergeCell ref="G104:H104"/>
    <mergeCell ref="G105:H105"/>
    <mergeCell ref="A106:D106"/>
    <mergeCell ref="G114:I114"/>
    <mergeCell ref="G115:I115"/>
    <mergeCell ref="A102:E102"/>
    <mergeCell ref="A103:C105"/>
    <mergeCell ref="D103:E105"/>
    <mergeCell ref="F103:F105"/>
    <mergeCell ref="B100:B101"/>
    <mergeCell ref="B77:B96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0.70866141732283472" right="0.32" top="0.44" bottom="0.57999999999999996" header="0.31496062992125984" footer="0.31496062992125984"/>
  <pageSetup scale="5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1"/>
  <sheetViews>
    <sheetView showGridLines="0" workbookViewId="0">
      <selection activeCell="E21" sqref="E21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" customWidth="1"/>
    <col min="9" max="9" width="12" customWidth="1"/>
    <col min="11" max="11" width="16.453125" hidden="1" customWidth="1"/>
  </cols>
  <sheetData>
    <row r="1" spans="1:37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37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37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37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37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37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37" s="1" customFormat="1" ht="15.75" customHeight="1" thickBot="1" x14ac:dyDescent="0.4">
      <c r="A7" s="319" t="s">
        <v>23</v>
      </c>
      <c r="B7" s="320"/>
      <c r="C7" s="321">
        <v>43340</v>
      </c>
      <c r="D7" s="321"/>
      <c r="E7" s="321"/>
      <c r="F7" s="321"/>
      <c r="G7" s="321"/>
      <c r="H7" s="321"/>
      <c r="I7" s="322"/>
    </row>
    <row r="8" spans="1:37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37" s="1" customFormat="1" ht="28.5" customHeight="1" thickBot="1" x14ac:dyDescent="0.4">
      <c r="A9" s="119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19" t="e">
        <f>IF(#REF!=1,"IVA","TRM")</f>
        <v>#REF!</v>
      </c>
      <c r="I9" s="14" t="s">
        <v>4</v>
      </c>
    </row>
    <row r="10" spans="1:37" s="1" customFormat="1" ht="15" thickBot="1" x14ac:dyDescent="0.4">
      <c r="A10" s="82">
        <v>1</v>
      </c>
      <c r="B10" s="340" t="s">
        <v>32</v>
      </c>
      <c r="C10" s="16">
        <v>43294</v>
      </c>
      <c r="D10" s="17">
        <v>222222222</v>
      </c>
      <c r="E10" s="18" t="str">
        <f>VLOOKUP(D10,[1]TERCEROS!$A$2:$C$4000,3,FALSE)</f>
        <v>CUANTIAS MINIMAS</v>
      </c>
      <c r="F10" s="19" t="s">
        <v>121</v>
      </c>
      <c r="G10" s="20">
        <v>50000</v>
      </c>
      <c r="H10" s="21"/>
      <c r="I10" s="22">
        <f>G10+H10</f>
        <v>50000</v>
      </c>
    </row>
    <row r="11" spans="1:37" s="1" customFormat="1" ht="15" thickBot="1" x14ac:dyDescent="0.4">
      <c r="A11" s="83">
        <v>2</v>
      </c>
      <c r="B11" s="341"/>
      <c r="C11" s="25">
        <v>43275</v>
      </c>
      <c r="D11" s="26">
        <v>2222222222</v>
      </c>
      <c r="E11" s="27" t="s">
        <v>122</v>
      </c>
      <c r="F11" s="28" t="s">
        <v>123</v>
      </c>
      <c r="G11" s="29">
        <v>16000</v>
      </c>
      <c r="H11" s="30"/>
      <c r="I11" s="22">
        <f t="shared" ref="I11:I14" si="0">G11+H11</f>
        <v>16000</v>
      </c>
    </row>
    <row r="12" spans="1:37" s="1" customFormat="1" ht="15" thickBot="1" x14ac:dyDescent="0.4">
      <c r="A12" s="82">
        <v>3</v>
      </c>
      <c r="B12" s="341"/>
      <c r="C12" s="25">
        <v>43275</v>
      </c>
      <c r="D12" s="26">
        <v>900564871</v>
      </c>
      <c r="E12" s="27" t="s">
        <v>124</v>
      </c>
      <c r="F12" s="28" t="s">
        <v>125</v>
      </c>
      <c r="G12" s="29">
        <v>12800</v>
      </c>
      <c r="H12" s="30"/>
      <c r="I12" s="22">
        <f t="shared" si="0"/>
        <v>12800</v>
      </c>
    </row>
    <row r="13" spans="1:37" s="1" customFormat="1" ht="15" thickBot="1" x14ac:dyDescent="0.4">
      <c r="A13" s="82">
        <v>4</v>
      </c>
      <c r="B13" s="341"/>
      <c r="C13" s="25">
        <v>43275</v>
      </c>
      <c r="D13" s="26">
        <v>900564871</v>
      </c>
      <c r="E13" s="27" t="s">
        <v>124</v>
      </c>
      <c r="F13" s="28" t="s">
        <v>125</v>
      </c>
      <c r="G13" s="29">
        <v>8900</v>
      </c>
      <c r="H13" s="30"/>
      <c r="I13" s="22">
        <f t="shared" si="0"/>
        <v>8900</v>
      </c>
    </row>
    <row r="14" spans="1:37" s="2" customFormat="1" ht="15.75" customHeight="1" thickBot="1" x14ac:dyDescent="0.4">
      <c r="A14" s="342"/>
      <c r="B14" s="329"/>
      <c r="C14" s="329"/>
      <c r="D14" s="329"/>
      <c r="E14" s="330"/>
      <c r="F14" s="93" t="s">
        <v>24</v>
      </c>
      <c r="G14" s="94">
        <f>SUM(G10:G13)</f>
        <v>87700</v>
      </c>
      <c r="H14" s="94"/>
      <c r="I14" s="22">
        <f t="shared" si="0"/>
        <v>87700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2" customFormat="1" ht="15" customHeight="1" x14ac:dyDescent="0.35">
      <c r="A15" s="300" t="s">
        <v>26</v>
      </c>
      <c r="B15" s="301"/>
      <c r="C15" s="301"/>
      <c r="D15" s="306" t="s">
        <v>126</v>
      </c>
      <c r="E15" s="307"/>
      <c r="F15" s="312"/>
      <c r="G15" s="315" t="s">
        <v>16</v>
      </c>
      <c r="H15" s="316"/>
      <c r="I15" s="35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2" customFormat="1" ht="15" customHeight="1" x14ac:dyDescent="0.35">
      <c r="A16" s="302"/>
      <c r="B16" s="303"/>
      <c r="C16" s="303"/>
      <c r="D16" s="308"/>
      <c r="E16" s="309"/>
      <c r="F16" s="313"/>
      <c r="G16" s="317" t="s">
        <v>17</v>
      </c>
      <c r="H16" s="318"/>
      <c r="I16" s="36">
        <f>+I15-I14</f>
        <v>-87700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1" customFormat="1" ht="15.75" customHeight="1" thickBot="1" x14ac:dyDescent="0.4">
      <c r="A17" s="304"/>
      <c r="B17" s="305"/>
      <c r="C17" s="305"/>
      <c r="D17" s="310"/>
      <c r="E17" s="311"/>
      <c r="F17" s="314"/>
      <c r="G17" s="289" t="s">
        <v>5</v>
      </c>
      <c r="H17" s="290"/>
      <c r="I17" s="37">
        <f>+I15-I16</f>
        <v>87700</v>
      </c>
    </row>
    <row r="18" spans="1:37" s="1" customFormat="1" ht="15" thickBot="1" x14ac:dyDescent="0.4">
      <c r="A18" s="291" t="s">
        <v>25</v>
      </c>
      <c r="B18" s="292"/>
      <c r="C18" s="292"/>
      <c r="D18" s="293"/>
      <c r="E18" s="38"/>
      <c r="F18" s="38"/>
      <c r="G18" s="38"/>
      <c r="H18" s="38"/>
      <c r="I18" s="39"/>
    </row>
    <row r="19" spans="1:37" s="1" customFormat="1" ht="15" thickBot="1" x14ac:dyDescent="0.4">
      <c r="A19" s="40"/>
      <c r="B19" s="41" t="s">
        <v>6</v>
      </c>
      <c r="C19" s="42">
        <f>D36</f>
        <v>0</v>
      </c>
      <c r="D19" s="39"/>
      <c r="E19" s="43">
        <f>C19+C23+I14</f>
        <v>87700</v>
      </c>
      <c r="F19" s="43"/>
      <c r="G19" s="38"/>
      <c r="H19" s="38"/>
      <c r="I19" s="44"/>
    </row>
    <row r="20" spans="1:37" s="1" customFormat="1" ht="15" thickBot="1" x14ac:dyDescent="0.4">
      <c r="A20" s="40"/>
      <c r="B20" s="41"/>
      <c r="C20" s="42"/>
      <c r="D20" s="39"/>
      <c r="E20" s="43"/>
      <c r="F20" s="43"/>
      <c r="G20" s="38"/>
      <c r="H20" s="38"/>
      <c r="I20" s="44"/>
    </row>
    <row r="21" spans="1:37" s="1" customFormat="1" ht="15" thickBot="1" x14ac:dyDescent="0.4">
      <c r="A21" s="40"/>
      <c r="B21" s="41"/>
      <c r="C21" s="45"/>
      <c r="D21" s="39"/>
      <c r="E21" s="43">
        <f>+E19-I15</f>
        <v>87700</v>
      </c>
      <c r="F21" s="38"/>
      <c r="G21" s="38"/>
      <c r="H21" s="38"/>
      <c r="I21" s="39"/>
    </row>
    <row r="22" spans="1:37" s="1" customFormat="1" ht="15" thickBot="1" x14ac:dyDescent="0.4">
      <c r="A22" s="40"/>
      <c r="B22" s="46"/>
      <c r="C22" s="45"/>
      <c r="D22" s="39"/>
      <c r="E22" s="43"/>
      <c r="F22" s="38"/>
      <c r="G22" s="38"/>
      <c r="H22" s="38"/>
      <c r="I22" s="39"/>
    </row>
    <row r="23" spans="1:37" s="1" customFormat="1" ht="15" thickBot="1" x14ac:dyDescent="0.4">
      <c r="A23" s="40"/>
      <c r="B23" s="47" t="s">
        <v>7</v>
      </c>
      <c r="C23" s="45">
        <f>SUM(C20:C22)</f>
        <v>0</v>
      </c>
      <c r="D23" s="39"/>
      <c r="E23" s="48"/>
      <c r="F23" s="48"/>
      <c r="G23" s="48"/>
      <c r="H23" s="48"/>
      <c r="I23" s="49"/>
    </row>
    <row r="24" spans="1:37" s="1" customFormat="1" ht="15" thickBot="1" x14ac:dyDescent="0.4">
      <c r="A24" s="40"/>
      <c r="B24" s="50"/>
      <c r="C24" s="51"/>
      <c r="D24" s="39"/>
      <c r="E24" s="48"/>
      <c r="F24" s="48"/>
      <c r="G24" s="48"/>
      <c r="H24" s="48"/>
      <c r="I24" s="49"/>
    </row>
    <row r="25" spans="1:37" s="1" customFormat="1" ht="15" thickBot="1" x14ac:dyDescent="0.4">
      <c r="A25" s="40"/>
      <c r="B25" s="52"/>
      <c r="C25" s="53" t="s">
        <v>11</v>
      </c>
      <c r="D25" s="54" t="s">
        <v>4</v>
      </c>
      <c r="E25" s="38"/>
      <c r="F25" s="55"/>
      <c r="G25" s="38"/>
      <c r="H25" s="38"/>
      <c r="I25" s="39"/>
    </row>
    <row r="26" spans="1:37" s="1" customFormat="1" ht="14.5" x14ac:dyDescent="0.35">
      <c r="A26" s="40"/>
      <c r="B26" s="56"/>
      <c r="C26" s="57">
        <v>50000</v>
      </c>
      <c r="D26" s="58">
        <f t="shared" ref="D26:D35" si="1">+C26*B26</f>
        <v>0</v>
      </c>
      <c r="E26" s="118" t="s">
        <v>29</v>
      </c>
      <c r="F26" s="60" t="s">
        <v>27</v>
      </c>
      <c r="G26" s="294" t="s">
        <v>28</v>
      </c>
      <c r="H26" s="294"/>
      <c r="I26" s="295"/>
    </row>
    <row r="27" spans="1:37" s="5" customFormat="1" ht="15" customHeight="1" x14ac:dyDescent="0.35">
      <c r="A27" s="40"/>
      <c r="B27" s="62"/>
      <c r="C27" s="63">
        <v>20000</v>
      </c>
      <c r="D27" s="58">
        <f t="shared" si="1"/>
        <v>0</v>
      </c>
      <c r="E27" s="116" t="s">
        <v>19</v>
      </c>
      <c r="F27" s="116" t="s">
        <v>20</v>
      </c>
      <c r="G27" s="296" t="s">
        <v>21</v>
      </c>
      <c r="H27" s="296"/>
      <c r="I27" s="29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s="5" customFormat="1" ht="15" customHeight="1" x14ac:dyDescent="0.35">
      <c r="A28" s="40"/>
      <c r="B28" s="62"/>
      <c r="C28" s="63">
        <v>10000</v>
      </c>
      <c r="D28" s="58">
        <f t="shared" si="1"/>
        <v>0</v>
      </c>
      <c r="E28" s="117" t="s">
        <v>86</v>
      </c>
      <c r="F28" s="117" t="s">
        <v>87</v>
      </c>
      <c r="G28" s="298" t="s">
        <v>88</v>
      </c>
      <c r="H28" s="298"/>
      <c r="I28" s="29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s="5" customFormat="1" ht="15" customHeight="1" x14ac:dyDescent="0.35">
      <c r="A29" s="40"/>
      <c r="B29" s="62"/>
      <c r="C29" s="63">
        <v>5000</v>
      </c>
      <c r="D29" s="58">
        <f t="shared" si="1"/>
        <v>0</v>
      </c>
      <c r="E29" s="38" t="s">
        <v>0</v>
      </c>
      <c r="F29" s="38"/>
      <c r="G29" s="38"/>
      <c r="H29" s="38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s="5" customFormat="1" ht="15" customHeight="1" x14ac:dyDescent="0.35">
      <c r="A30" s="40"/>
      <c r="B30" s="62"/>
      <c r="C30" s="63">
        <v>2000</v>
      </c>
      <c r="D30" s="58">
        <f t="shared" si="1"/>
        <v>0</v>
      </c>
      <c r="E30" s="38"/>
      <c r="F30" s="38" t="s">
        <v>8</v>
      </c>
      <c r="G30" s="38"/>
      <c r="H30" s="38"/>
      <c r="I30" s="3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s="5" customFormat="1" ht="15" customHeight="1" x14ac:dyDescent="0.35">
      <c r="A31" s="40"/>
      <c r="B31" s="62"/>
      <c r="C31" s="63">
        <v>1000</v>
      </c>
      <c r="D31" s="58">
        <f t="shared" si="1"/>
        <v>0</v>
      </c>
      <c r="E31" s="38"/>
      <c r="F31" s="38"/>
      <c r="G31" s="38"/>
      <c r="H31" s="38"/>
      <c r="I31" s="3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s="1" customFormat="1" ht="15" customHeight="1" x14ac:dyDescent="0.35">
      <c r="A32" s="40"/>
      <c r="B32" s="62"/>
      <c r="C32" s="63">
        <v>500</v>
      </c>
      <c r="D32" s="58">
        <f t="shared" si="1"/>
        <v>0</v>
      </c>
      <c r="E32" s="38"/>
      <c r="F32" s="38"/>
      <c r="G32" s="38"/>
      <c r="H32" s="38"/>
      <c r="I32" s="39"/>
    </row>
    <row r="33" spans="1:37" s="1" customFormat="1" ht="15" customHeight="1" x14ac:dyDescent="0.35">
      <c r="A33" s="40"/>
      <c r="B33" s="62"/>
      <c r="C33" s="63">
        <v>200</v>
      </c>
      <c r="D33" s="58">
        <f t="shared" si="1"/>
        <v>0</v>
      </c>
      <c r="E33" s="38"/>
      <c r="F33" s="38"/>
      <c r="G33" s="38"/>
      <c r="H33" s="38"/>
      <c r="I33" s="39"/>
    </row>
    <row r="34" spans="1:37" s="1" customFormat="1" ht="15" customHeight="1" x14ac:dyDescent="0.35">
      <c r="A34" s="40"/>
      <c r="B34" s="62"/>
      <c r="C34" s="63">
        <v>100</v>
      </c>
      <c r="D34" s="58">
        <f>+C34*B34</f>
        <v>0</v>
      </c>
      <c r="E34" s="38"/>
      <c r="F34" s="38"/>
      <c r="G34" s="38"/>
      <c r="H34" s="38"/>
      <c r="I34" s="39"/>
    </row>
    <row r="35" spans="1:37" s="5" customFormat="1" ht="15" customHeight="1" thickBot="1" x14ac:dyDescent="0.4">
      <c r="A35" s="40"/>
      <c r="B35" s="68"/>
      <c r="C35" s="69">
        <v>50</v>
      </c>
      <c r="D35" s="58">
        <f t="shared" si="1"/>
        <v>0</v>
      </c>
      <c r="E35" s="38"/>
      <c r="F35" s="38"/>
      <c r="G35" s="38"/>
      <c r="H35" s="38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s="1" customFormat="1" ht="15" customHeight="1" thickBot="1" x14ac:dyDescent="0.4">
      <c r="A36" s="40"/>
      <c r="B36" s="118"/>
      <c r="C36" s="70"/>
      <c r="D36" s="71">
        <f>SUM(D26:D35)</f>
        <v>0</v>
      </c>
      <c r="E36" s="38"/>
      <c r="F36" s="38"/>
      <c r="G36" s="38"/>
      <c r="H36" s="38"/>
      <c r="I36" s="39"/>
    </row>
    <row r="37" spans="1:37" s="5" customFormat="1" ht="15" customHeight="1" thickBot="1" x14ac:dyDescent="0.4">
      <c r="A37" s="72"/>
      <c r="B37" s="73"/>
      <c r="C37" s="74"/>
      <c r="D37" s="75"/>
      <c r="E37" s="76"/>
      <c r="F37" s="76"/>
      <c r="G37" s="76"/>
      <c r="H37" s="76"/>
      <c r="I37" s="7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s="5" customFormat="1" ht="22.5" customHeight="1" x14ac:dyDescent="0.35">
      <c r="A38" s="1"/>
      <c r="B38"/>
      <c r="C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s="3" customFormat="1" ht="22.5" customHeight="1" x14ac:dyDescent="0.35">
      <c r="A39"/>
      <c r="B39"/>
      <c r="C39" s="6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s="3" customFormat="1" ht="22.5" customHeight="1" x14ac:dyDescent="0.35">
      <c r="A40"/>
      <c r="B40"/>
      <c r="C40" s="6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s="3" customFormat="1" ht="22.5" customHeight="1" x14ac:dyDescent="0.35">
      <c r="A41"/>
      <c r="B41"/>
      <c r="C41" s="6"/>
      <c r="D41" s="7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</sheetData>
  <mergeCells count="21">
    <mergeCell ref="A1:B6"/>
    <mergeCell ref="C1:F3"/>
    <mergeCell ref="G1:I2"/>
    <mergeCell ref="G3:I4"/>
    <mergeCell ref="C4:F6"/>
    <mergeCell ref="G5:I6"/>
    <mergeCell ref="A7:B7"/>
    <mergeCell ref="C7:I7"/>
    <mergeCell ref="A8:I8"/>
    <mergeCell ref="B10:B13"/>
    <mergeCell ref="A14:E14"/>
    <mergeCell ref="A18:D18"/>
    <mergeCell ref="G26:I26"/>
    <mergeCell ref="G27:I27"/>
    <mergeCell ref="G28:I28"/>
    <mergeCell ref="A15:C17"/>
    <mergeCell ref="D15:E17"/>
    <mergeCell ref="F15:F17"/>
    <mergeCell ref="G15:H15"/>
    <mergeCell ref="G16:H16"/>
    <mergeCell ref="G17:H17"/>
  </mergeCells>
  <pageMargins left="0.70866141732283472" right="0.32" top="0.44" bottom="0.57999999999999996" header="0.31496062992125984" footer="0.31496062992125984"/>
  <pageSetup scale="5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23"/>
  <sheetViews>
    <sheetView showGridLines="0" topLeftCell="A40" workbookViewId="0">
      <selection activeCell="D69" sqref="D69:F69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.453125" bestFit="1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43353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44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44" t="str">
        <f>IF(K14=1,"IVA","TRM")</f>
        <v>IVA</v>
      </c>
      <c r="I9" s="14" t="s">
        <v>4</v>
      </c>
    </row>
    <row r="10" spans="1:12" s="1" customFormat="1" ht="14.5" x14ac:dyDescent="0.35">
      <c r="A10" s="82">
        <v>1</v>
      </c>
      <c r="B10" s="347" t="s">
        <v>32</v>
      </c>
      <c r="C10" s="107">
        <v>43347</v>
      </c>
      <c r="D10" s="17">
        <v>830054076</v>
      </c>
      <c r="E10" s="18" t="str">
        <f>VLOOKUP(D10,[1]TERCEROS!$A$2:$C$4000,3,FALSE)</f>
        <v>FIDEICOMISOS SOCIEDAD FIDUCIARIA</v>
      </c>
      <c r="F10" s="19" t="s">
        <v>33</v>
      </c>
      <c r="G10" s="20">
        <v>9700</v>
      </c>
      <c r="H10" s="21"/>
      <c r="I10" s="22">
        <f>IF($K$14=1,G10+H10,G10*H10)</f>
        <v>9700</v>
      </c>
    </row>
    <row r="11" spans="1:12" s="1" customFormat="1" ht="14.5" x14ac:dyDescent="0.35">
      <c r="A11" s="83">
        <v>2</v>
      </c>
      <c r="B11" s="326"/>
      <c r="C11" s="108">
        <v>43339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30"/>
      <c r="I11" s="31">
        <f>IF($K$14=1,G11+H11,G11*H11)</f>
        <v>9700</v>
      </c>
    </row>
    <row r="12" spans="1:12" s="1" customFormat="1" ht="14.5" x14ac:dyDescent="0.35">
      <c r="A12" s="83">
        <v>3</v>
      </c>
      <c r="B12" s="326"/>
      <c r="C12" s="108">
        <v>43340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30"/>
      <c r="I12" s="31">
        <f t="shared" ref="I12:I95" si="0">IF($K$14=1,G12+H12,G12*H12)</f>
        <v>9700</v>
      </c>
    </row>
    <row r="13" spans="1:12" s="1" customFormat="1" ht="15" thickBot="1" x14ac:dyDescent="0.4">
      <c r="A13" s="83">
        <v>4</v>
      </c>
      <c r="B13" s="326"/>
      <c r="C13" s="108">
        <v>43343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30"/>
      <c r="I13" s="31">
        <f t="shared" si="0"/>
        <v>9700</v>
      </c>
    </row>
    <row r="14" spans="1:12" s="1" customFormat="1" ht="14.5" x14ac:dyDescent="0.35">
      <c r="A14" s="82">
        <v>5</v>
      </c>
      <c r="B14" s="326"/>
      <c r="C14" s="108">
        <v>43340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30"/>
      <c r="I14" s="31">
        <f t="shared" si="0"/>
        <v>9700</v>
      </c>
      <c r="K14" s="1">
        <v>1</v>
      </c>
    </row>
    <row r="15" spans="1:12" s="1" customFormat="1" ht="14.5" x14ac:dyDescent="0.35">
      <c r="A15" s="83">
        <v>6</v>
      </c>
      <c r="B15" s="326"/>
      <c r="C15" s="108">
        <v>43341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30"/>
      <c r="I15" s="31">
        <f t="shared" si="0"/>
        <v>9700</v>
      </c>
    </row>
    <row r="16" spans="1:12" s="1" customFormat="1" ht="14.5" x14ac:dyDescent="0.35">
      <c r="A16" s="83">
        <v>7</v>
      </c>
      <c r="B16" s="326"/>
      <c r="C16" s="108">
        <v>43341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30"/>
      <c r="I16" s="31">
        <f t="shared" si="0"/>
        <v>9700</v>
      </c>
    </row>
    <row r="17" spans="1:9" s="1" customFormat="1" ht="15" thickBot="1" x14ac:dyDescent="0.4">
      <c r="A17" s="83">
        <v>8</v>
      </c>
      <c r="B17" s="326"/>
      <c r="C17" s="108">
        <v>43334</v>
      </c>
      <c r="D17" s="26">
        <v>830054076</v>
      </c>
      <c r="E17" s="27" t="str">
        <f>VLOOKUP(D17,[1]TERCEROS!$A$2:$C$4000,3,FALSE)</f>
        <v>FIDEICOMISOS SOCIEDAD FIDUCIARIA</v>
      </c>
      <c r="F17" s="28" t="s">
        <v>33</v>
      </c>
      <c r="G17" s="29">
        <v>9700</v>
      </c>
      <c r="H17" s="30"/>
      <c r="I17" s="31">
        <f t="shared" si="0"/>
        <v>9700</v>
      </c>
    </row>
    <row r="18" spans="1:9" s="1" customFormat="1" ht="14.5" x14ac:dyDescent="0.35">
      <c r="A18" s="82">
        <v>9</v>
      </c>
      <c r="B18" s="326"/>
      <c r="C18" s="108">
        <v>43340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30"/>
      <c r="I18" s="31">
        <f t="shared" si="0"/>
        <v>9700</v>
      </c>
    </row>
    <row r="19" spans="1:9" s="1" customFormat="1" ht="14.5" x14ac:dyDescent="0.35">
      <c r="A19" s="83">
        <v>10</v>
      </c>
      <c r="B19" s="326"/>
      <c r="C19" s="108">
        <v>43340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30"/>
      <c r="I19" s="31">
        <f t="shared" si="0"/>
        <v>9700</v>
      </c>
    </row>
    <row r="20" spans="1:9" s="1" customFormat="1" ht="14.5" x14ac:dyDescent="0.35">
      <c r="A20" s="83">
        <v>11</v>
      </c>
      <c r="B20" s="326"/>
      <c r="C20" s="108">
        <v>43346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30"/>
      <c r="I20" s="31">
        <f t="shared" si="0"/>
        <v>9700</v>
      </c>
    </row>
    <row r="21" spans="1:9" s="1" customFormat="1" ht="15" thickBot="1" x14ac:dyDescent="0.4">
      <c r="A21" s="83">
        <v>12</v>
      </c>
      <c r="B21" s="326"/>
      <c r="C21" s="108">
        <v>43346</v>
      </c>
      <c r="D21" s="26">
        <v>830054076</v>
      </c>
      <c r="E21" s="27" t="str">
        <f>VLOOKUP(D21,[1]TERCEROS!$A$2:$C$4000,3,FALSE)</f>
        <v>FIDEICOMISOS SOCIEDAD FIDUCIARIA</v>
      </c>
      <c r="F21" s="28" t="s">
        <v>33</v>
      </c>
      <c r="G21" s="29">
        <v>9700</v>
      </c>
      <c r="H21" s="30"/>
      <c r="I21" s="31">
        <f t="shared" si="0"/>
        <v>9700</v>
      </c>
    </row>
    <row r="22" spans="1:9" s="1" customFormat="1" ht="14.5" x14ac:dyDescent="0.35">
      <c r="A22" s="82">
        <v>13</v>
      </c>
      <c r="B22" s="326"/>
      <c r="C22" s="108">
        <v>43349</v>
      </c>
      <c r="D22" s="26">
        <v>830054076</v>
      </c>
      <c r="E22" s="27" t="str">
        <f>VLOOKUP(D22,[1]TERCEROS!$A$2:$C$4000,3,FALSE)</f>
        <v>FIDEICOMISOS SOCIEDAD FIDUCIARIA</v>
      </c>
      <c r="F22" s="28" t="s">
        <v>33</v>
      </c>
      <c r="G22" s="29">
        <v>9700</v>
      </c>
      <c r="H22" s="30"/>
      <c r="I22" s="31">
        <f t="shared" si="0"/>
        <v>9700</v>
      </c>
    </row>
    <row r="23" spans="1:9" s="1" customFormat="1" ht="14.5" x14ac:dyDescent="0.35">
      <c r="A23" s="83">
        <v>14</v>
      </c>
      <c r="B23" s="326"/>
      <c r="C23" s="108">
        <v>43346</v>
      </c>
      <c r="D23" s="26">
        <v>830054076</v>
      </c>
      <c r="E23" s="27" t="str">
        <f>VLOOKUP(D23,[1]TERCEROS!$A$2:$C$4000,3,FALSE)</f>
        <v>FIDEICOMISOS SOCIEDAD FIDUCIARIA</v>
      </c>
      <c r="F23" s="28" t="s">
        <v>33</v>
      </c>
      <c r="G23" s="29">
        <v>9700</v>
      </c>
      <c r="H23" s="30"/>
      <c r="I23" s="31">
        <f t="shared" si="0"/>
        <v>9700</v>
      </c>
    </row>
    <row r="24" spans="1:9" s="1" customFormat="1" ht="14.5" x14ac:dyDescent="0.35">
      <c r="A24" s="83">
        <v>15</v>
      </c>
      <c r="B24" s="326"/>
      <c r="C24" s="108">
        <v>43347</v>
      </c>
      <c r="D24" s="26">
        <v>830054076</v>
      </c>
      <c r="E24" s="27" t="str">
        <f>VLOOKUP(D24,[1]TERCEROS!$A$2:$C$4000,3,FALSE)</f>
        <v>FIDEICOMISOS SOCIEDAD FIDUCIARIA</v>
      </c>
      <c r="F24" s="28" t="s">
        <v>33</v>
      </c>
      <c r="G24" s="29">
        <v>9700</v>
      </c>
      <c r="H24" s="30"/>
      <c r="I24" s="31">
        <f t="shared" si="0"/>
        <v>9700</v>
      </c>
    </row>
    <row r="25" spans="1:9" s="1" customFormat="1" ht="15" thickBot="1" x14ac:dyDescent="0.4">
      <c r="A25" s="83">
        <v>16</v>
      </c>
      <c r="B25" s="326"/>
      <c r="C25" s="108">
        <v>43335</v>
      </c>
      <c r="D25" s="26">
        <v>830054076</v>
      </c>
      <c r="E25" s="27" t="str">
        <f>VLOOKUP(D25,[1]TERCEROS!$A$2:$C$4000,3,FALSE)</f>
        <v>FIDEICOMISOS SOCIEDAD FIDUCIARIA</v>
      </c>
      <c r="F25" s="28" t="s">
        <v>33</v>
      </c>
      <c r="G25" s="29">
        <v>9700</v>
      </c>
      <c r="H25" s="30"/>
      <c r="I25" s="31">
        <f t="shared" si="0"/>
        <v>9700</v>
      </c>
    </row>
    <row r="26" spans="1:9" s="1" customFormat="1" ht="14.5" x14ac:dyDescent="0.35">
      <c r="A26" s="82">
        <v>17</v>
      </c>
      <c r="B26" s="326"/>
      <c r="C26" s="108">
        <v>43335</v>
      </c>
      <c r="D26" s="26">
        <v>830054076</v>
      </c>
      <c r="E26" s="27" t="str">
        <f>VLOOKUP(D26,[1]TERCEROS!$A$2:$C$4000,3,FALSE)</f>
        <v>FIDEICOMISOS SOCIEDAD FIDUCIARIA</v>
      </c>
      <c r="F26" s="28" t="s">
        <v>33</v>
      </c>
      <c r="G26" s="29">
        <v>9700</v>
      </c>
      <c r="H26" s="30"/>
      <c r="I26" s="31">
        <f t="shared" si="0"/>
        <v>9700</v>
      </c>
    </row>
    <row r="27" spans="1:9" s="1" customFormat="1" ht="14.5" x14ac:dyDescent="0.35">
      <c r="A27" s="83">
        <v>18</v>
      </c>
      <c r="B27" s="326"/>
      <c r="C27" s="108">
        <v>43346</v>
      </c>
      <c r="D27" s="26">
        <v>830054076</v>
      </c>
      <c r="E27" s="27" t="str">
        <f>VLOOKUP(D27,[1]TERCEROS!$A$2:$C$4000,3,FALSE)</f>
        <v>FIDEICOMISOS SOCIEDAD FIDUCIARIA</v>
      </c>
      <c r="F27" s="28" t="s">
        <v>33</v>
      </c>
      <c r="G27" s="29">
        <v>9700</v>
      </c>
      <c r="H27" s="30"/>
      <c r="I27" s="31">
        <f t="shared" si="0"/>
        <v>9700</v>
      </c>
    </row>
    <row r="28" spans="1:9" s="1" customFormat="1" ht="14.5" x14ac:dyDescent="0.35">
      <c r="A28" s="83">
        <v>19</v>
      </c>
      <c r="B28" s="326"/>
      <c r="C28" s="108">
        <v>43341</v>
      </c>
      <c r="D28" s="26">
        <v>830054076</v>
      </c>
      <c r="E28" s="27" t="str">
        <f>VLOOKUP(D28,[1]TERCEROS!$A$2:$C$4000,3,FALSE)</f>
        <v>FIDEICOMISOS SOCIEDAD FIDUCIARIA</v>
      </c>
      <c r="F28" s="28" t="s">
        <v>33</v>
      </c>
      <c r="G28" s="29">
        <v>9700</v>
      </c>
      <c r="H28" s="30"/>
      <c r="I28" s="31">
        <f t="shared" si="0"/>
        <v>9700</v>
      </c>
    </row>
    <row r="29" spans="1:9" s="1" customFormat="1" ht="15" thickBot="1" x14ac:dyDescent="0.4">
      <c r="A29" s="83">
        <v>20</v>
      </c>
      <c r="B29" s="326"/>
      <c r="C29" s="108">
        <v>43346</v>
      </c>
      <c r="D29" s="26">
        <v>830054076</v>
      </c>
      <c r="E29" s="27" t="str">
        <f>VLOOKUP(D29,[1]TERCEROS!$A$2:$C$4000,3,FALSE)</f>
        <v>FIDEICOMISOS SOCIEDAD FIDUCIARIA</v>
      </c>
      <c r="F29" s="28" t="s">
        <v>33</v>
      </c>
      <c r="G29" s="29">
        <v>9700</v>
      </c>
      <c r="H29" s="30"/>
      <c r="I29" s="31">
        <f t="shared" si="0"/>
        <v>9700</v>
      </c>
    </row>
    <row r="30" spans="1:9" s="1" customFormat="1" ht="14.5" x14ac:dyDescent="0.35">
      <c r="A30" s="82">
        <v>21</v>
      </c>
      <c r="B30" s="326"/>
      <c r="C30" s="108">
        <v>43342</v>
      </c>
      <c r="D30" s="26">
        <v>830054076</v>
      </c>
      <c r="E30" s="27" t="str">
        <f>VLOOKUP(D30,[1]TERCEROS!$A$2:$C$4000,3,FALSE)</f>
        <v>FIDEICOMISOS SOCIEDAD FIDUCIARIA</v>
      </c>
      <c r="F30" s="28" t="s">
        <v>33</v>
      </c>
      <c r="G30" s="29">
        <v>9700</v>
      </c>
      <c r="H30" s="30"/>
      <c r="I30" s="31">
        <f t="shared" si="0"/>
        <v>9700</v>
      </c>
    </row>
    <row r="31" spans="1:9" s="1" customFormat="1" ht="14.5" x14ac:dyDescent="0.35">
      <c r="A31" s="83">
        <v>22</v>
      </c>
      <c r="B31" s="326"/>
      <c r="C31" s="108">
        <v>43342</v>
      </c>
      <c r="D31" s="26">
        <v>830054076</v>
      </c>
      <c r="E31" s="27" t="str">
        <f>VLOOKUP(D31,[1]TERCEROS!$A$2:$C$4000,3,FALSE)</f>
        <v>FIDEICOMISOS SOCIEDAD FIDUCIARIA</v>
      </c>
      <c r="F31" s="28" t="s">
        <v>33</v>
      </c>
      <c r="G31" s="29">
        <v>9700</v>
      </c>
      <c r="H31" s="30"/>
      <c r="I31" s="31">
        <f t="shared" si="0"/>
        <v>9700</v>
      </c>
    </row>
    <row r="32" spans="1:9" s="1" customFormat="1" ht="14.5" x14ac:dyDescent="0.35">
      <c r="A32" s="83">
        <v>23</v>
      </c>
      <c r="B32" s="326"/>
      <c r="C32" s="108">
        <v>43342</v>
      </c>
      <c r="D32" s="26">
        <v>830054076</v>
      </c>
      <c r="E32" s="27" t="str">
        <f>VLOOKUP(D32,[1]TERCEROS!$A$2:$C$4000,3,FALSE)</f>
        <v>FIDEICOMISOS SOCIEDAD FIDUCIARIA</v>
      </c>
      <c r="F32" s="28" t="s">
        <v>33</v>
      </c>
      <c r="G32" s="29">
        <v>9700</v>
      </c>
      <c r="H32" s="30"/>
      <c r="I32" s="31">
        <f t="shared" si="0"/>
        <v>9700</v>
      </c>
    </row>
    <row r="33" spans="1:9" s="1" customFormat="1" ht="15" thickBot="1" x14ac:dyDescent="0.4">
      <c r="A33" s="83">
        <v>24</v>
      </c>
      <c r="B33" s="326"/>
      <c r="C33" s="108">
        <v>43342</v>
      </c>
      <c r="D33" s="26">
        <v>830054076</v>
      </c>
      <c r="E33" s="27" t="str">
        <f>VLOOKUP(D33,[1]TERCEROS!$A$2:$C$4000,3,FALSE)</f>
        <v>FIDEICOMISOS SOCIEDAD FIDUCIARIA</v>
      </c>
      <c r="F33" s="28" t="s">
        <v>33</v>
      </c>
      <c r="G33" s="29">
        <v>9700</v>
      </c>
      <c r="H33" s="30"/>
      <c r="I33" s="31">
        <f t="shared" si="0"/>
        <v>9700</v>
      </c>
    </row>
    <row r="34" spans="1:9" s="1" customFormat="1" ht="14.5" x14ac:dyDescent="0.35">
      <c r="A34" s="82">
        <v>25</v>
      </c>
      <c r="B34" s="326"/>
      <c r="C34" s="108">
        <v>43343</v>
      </c>
      <c r="D34" s="26">
        <v>830054076</v>
      </c>
      <c r="E34" s="27" t="str">
        <f>VLOOKUP(D34,[1]TERCEROS!$A$2:$C$4000,3,FALSE)</f>
        <v>FIDEICOMISOS SOCIEDAD FIDUCIARIA</v>
      </c>
      <c r="F34" s="28" t="s">
        <v>33</v>
      </c>
      <c r="G34" s="29">
        <v>9700</v>
      </c>
      <c r="H34" s="30"/>
      <c r="I34" s="31">
        <f t="shared" si="0"/>
        <v>9700</v>
      </c>
    </row>
    <row r="35" spans="1:9" s="1" customFormat="1" ht="14.5" x14ac:dyDescent="0.35">
      <c r="A35" s="83">
        <v>26</v>
      </c>
      <c r="B35" s="326"/>
      <c r="C35" s="108">
        <v>43346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9700</v>
      </c>
      <c r="H35" s="30"/>
      <c r="I35" s="31">
        <f t="shared" si="0"/>
        <v>9700</v>
      </c>
    </row>
    <row r="36" spans="1:9" s="1" customFormat="1" ht="14.5" x14ac:dyDescent="0.35">
      <c r="A36" s="83">
        <v>27</v>
      </c>
      <c r="B36" s="326"/>
      <c r="C36" s="108">
        <v>43343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30"/>
      <c r="I36" s="31">
        <f t="shared" si="0"/>
        <v>9700</v>
      </c>
    </row>
    <row r="37" spans="1:9" s="1" customFormat="1" ht="15" thickBot="1" x14ac:dyDescent="0.4">
      <c r="A37" s="83">
        <v>28</v>
      </c>
      <c r="B37" s="326"/>
      <c r="C37" s="108">
        <v>43346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9700</v>
      </c>
      <c r="H37" s="30"/>
      <c r="I37" s="31">
        <f t="shared" si="0"/>
        <v>9700</v>
      </c>
    </row>
    <row r="38" spans="1:9" s="1" customFormat="1" ht="14.5" x14ac:dyDescent="0.35">
      <c r="A38" s="82">
        <v>29</v>
      </c>
      <c r="B38" s="326"/>
      <c r="C38" s="108">
        <v>43348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9700</v>
      </c>
      <c r="H38" s="30"/>
      <c r="I38" s="31">
        <f t="shared" si="0"/>
        <v>9700</v>
      </c>
    </row>
    <row r="39" spans="1:9" s="1" customFormat="1" ht="14.5" x14ac:dyDescent="0.35">
      <c r="A39" s="83">
        <v>30</v>
      </c>
      <c r="B39" s="326"/>
      <c r="C39" s="108">
        <v>43348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9700</v>
      </c>
      <c r="H39" s="30"/>
      <c r="I39" s="31">
        <f t="shared" si="0"/>
        <v>9700</v>
      </c>
    </row>
    <row r="40" spans="1:9" s="1" customFormat="1" ht="14.5" x14ac:dyDescent="0.35">
      <c r="A40" s="83">
        <v>31</v>
      </c>
      <c r="B40" s="326"/>
      <c r="C40" s="108">
        <v>43348</v>
      </c>
      <c r="D40" s="26">
        <v>830054076</v>
      </c>
      <c r="E40" s="27" t="str">
        <f>VLOOKUP(D40,[1]TERCEROS!$A$2:$C$4000,3,FALSE)</f>
        <v>FIDEICOMISOS SOCIEDAD FIDUCIARIA</v>
      </c>
      <c r="F40" s="28" t="s">
        <v>33</v>
      </c>
      <c r="G40" s="29">
        <v>9700</v>
      </c>
      <c r="H40" s="30"/>
      <c r="I40" s="31">
        <f t="shared" si="0"/>
        <v>9700</v>
      </c>
    </row>
    <row r="41" spans="1:9" s="1" customFormat="1" ht="15" thickBot="1" x14ac:dyDescent="0.4">
      <c r="A41" s="83">
        <v>32</v>
      </c>
      <c r="B41" s="326"/>
      <c r="C41" s="108">
        <v>43318</v>
      </c>
      <c r="D41" s="26">
        <v>830054076</v>
      </c>
      <c r="E41" s="27" t="str">
        <f>VLOOKUP(D41,[1]TERCEROS!$A$2:$C$4000,3,FALSE)</f>
        <v>FIDEICOMISOS SOCIEDAD FIDUCIARIA</v>
      </c>
      <c r="F41" s="28" t="s">
        <v>33</v>
      </c>
      <c r="G41" s="29">
        <v>9700</v>
      </c>
      <c r="H41" s="30"/>
      <c r="I41" s="31">
        <f t="shared" si="0"/>
        <v>9700</v>
      </c>
    </row>
    <row r="42" spans="1:9" s="1" customFormat="1" ht="14.5" x14ac:dyDescent="0.35">
      <c r="A42" s="82">
        <v>33</v>
      </c>
      <c r="B42" s="326"/>
      <c r="C42" s="108">
        <v>43349</v>
      </c>
      <c r="D42" s="26">
        <v>830054076</v>
      </c>
      <c r="E42" s="27" t="str">
        <f>VLOOKUP(D42,[1]TERCEROS!$A$2:$C$4000,3,FALSE)</f>
        <v>FIDEICOMISOS SOCIEDAD FIDUCIARIA</v>
      </c>
      <c r="F42" s="28" t="s">
        <v>33</v>
      </c>
      <c r="G42" s="29">
        <v>11700</v>
      </c>
      <c r="H42" s="30"/>
      <c r="I42" s="31">
        <f t="shared" si="0"/>
        <v>11700</v>
      </c>
    </row>
    <row r="43" spans="1:9" s="1" customFormat="1" ht="14.5" x14ac:dyDescent="0.35">
      <c r="A43" s="83">
        <v>34</v>
      </c>
      <c r="B43" s="326"/>
      <c r="C43" s="108">
        <v>43348</v>
      </c>
      <c r="D43" s="26">
        <v>830054076</v>
      </c>
      <c r="E43" s="27" t="str">
        <f>VLOOKUP(D43,[1]TERCEROS!$A$2:$C$4000,3,FALSE)</f>
        <v>FIDEICOMISOS SOCIEDAD FIDUCIARIA</v>
      </c>
      <c r="F43" s="28" t="s">
        <v>33</v>
      </c>
      <c r="G43" s="29">
        <v>9700</v>
      </c>
      <c r="H43" s="30"/>
      <c r="I43" s="31">
        <f t="shared" si="0"/>
        <v>9700</v>
      </c>
    </row>
    <row r="44" spans="1:9" s="1" customFormat="1" ht="14.5" x14ac:dyDescent="0.35">
      <c r="A44" s="83">
        <v>35</v>
      </c>
      <c r="B44" s="326"/>
      <c r="C44" s="108">
        <v>43350</v>
      </c>
      <c r="D44" s="26">
        <v>830054076</v>
      </c>
      <c r="E44" s="27" t="str">
        <f>VLOOKUP(D44,[1]TERCEROS!$A$2:$C$4000,3,FALSE)</f>
        <v>FIDEICOMISOS SOCIEDAD FIDUCIARIA</v>
      </c>
      <c r="F44" s="28" t="s">
        <v>33</v>
      </c>
      <c r="G44" s="29">
        <v>9700</v>
      </c>
      <c r="H44" s="30"/>
      <c r="I44" s="31">
        <f t="shared" si="0"/>
        <v>9700</v>
      </c>
    </row>
    <row r="45" spans="1:9" s="1" customFormat="1" ht="15" thickBot="1" x14ac:dyDescent="0.4">
      <c r="A45" s="83">
        <v>36</v>
      </c>
      <c r="B45" s="326"/>
      <c r="C45" s="108">
        <v>43349</v>
      </c>
      <c r="D45" s="26">
        <v>830054076</v>
      </c>
      <c r="E45" s="27" t="str">
        <f>VLOOKUP(D45,[1]TERCEROS!$A$2:$C$4000,3,FALSE)</f>
        <v>FIDEICOMISOS SOCIEDAD FIDUCIARIA</v>
      </c>
      <c r="F45" s="28" t="s">
        <v>33</v>
      </c>
      <c r="G45" s="29">
        <v>9700</v>
      </c>
      <c r="H45" s="30"/>
      <c r="I45" s="31">
        <f t="shared" si="0"/>
        <v>9700</v>
      </c>
    </row>
    <row r="46" spans="1:9" s="1" customFormat="1" ht="14.5" x14ac:dyDescent="0.35">
      <c r="A46" s="82">
        <v>37</v>
      </c>
      <c r="B46" s="326"/>
      <c r="C46" s="108">
        <v>43349</v>
      </c>
      <c r="D46" s="26">
        <v>546340</v>
      </c>
      <c r="E46" s="27" t="s">
        <v>127</v>
      </c>
      <c r="F46" s="28" t="s">
        <v>34</v>
      </c>
      <c r="G46" s="29">
        <v>20000</v>
      </c>
      <c r="H46" s="30"/>
      <c r="I46" s="31">
        <f t="shared" si="0"/>
        <v>20000</v>
      </c>
    </row>
    <row r="47" spans="1:9" s="1" customFormat="1" ht="14.5" x14ac:dyDescent="0.35">
      <c r="A47" s="83">
        <v>38</v>
      </c>
      <c r="B47" s="326"/>
      <c r="C47" s="108">
        <v>43349</v>
      </c>
      <c r="D47" s="26">
        <v>830054076</v>
      </c>
      <c r="E47" s="27" t="str">
        <f>VLOOKUP(D47,[1]TERCEROS!$A$2:$C$4000,3,FALSE)</f>
        <v>FIDEICOMISOS SOCIEDAD FIDUCIARIA</v>
      </c>
      <c r="F47" s="28" t="s">
        <v>33</v>
      </c>
      <c r="G47" s="29">
        <v>9700</v>
      </c>
      <c r="H47" s="30"/>
      <c r="I47" s="31">
        <f t="shared" si="0"/>
        <v>9700</v>
      </c>
    </row>
    <row r="48" spans="1:9" s="1" customFormat="1" ht="14.5" x14ac:dyDescent="0.35">
      <c r="A48" s="83">
        <v>39</v>
      </c>
      <c r="B48" s="326"/>
      <c r="C48" s="108">
        <v>43343</v>
      </c>
      <c r="D48" s="26">
        <v>830054076</v>
      </c>
      <c r="E48" s="27" t="str">
        <f>VLOOKUP(D48,[1]TERCEROS!$A$2:$C$4000,3,FALSE)</f>
        <v>FIDEICOMISOS SOCIEDAD FIDUCIARIA</v>
      </c>
      <c r="F48" s="28" t="s">
        <v>33</v>
      </c>
      <c r="G48" s="29">
        <v>9700</v>
      </c>
      <c r="H48" s="30"/>
      <c r="I48" s="31">
        <f t="shared" si="0"/>
        <v>9700</v>
      </c>
    </row>
    <row r="49" spans="1:9" s="1" customFormat="1" ht="15" thickBot="1" x14ac:dyDescent="0.4">
      <c r="A49" s="83">
        <v>40</v>
      </c>
      <c r="B49" s="326"/>
      <c r="C49" s="108">
        <v>43349</v>
      </c>
      <c r="D49" s="26">
        <v>830054076</v>
      </c>
      <c r="E49" s="27" t="str">
        <f>VLOOKUP(D49,[1]TERCEROS!$A$2:$C$4000,3,FALSE)</f>
        <v>FIDEICOMISOS SOCIEDAD FIDUCIARIA</v>
      </c>
      <c r="F49" s="28" t="s">
        <v>33</v>
      </c>
      <c r="G49" s="29">
        <v>9700</v>
      </c>
      <c r="H49" s="30"/>
      <c r="I49" s="31">
        <f t="shared" si="0"/>
        <v>9700</v>
      </c>
    </row>
    <row r="50" spans="1:9" s="1" customFormat="1" ht="14.5" x14ac:dyDescent="0.35">
      <c r="A50" s="82">
        <v>41</v>
      </c>
      <c r="B50" s="326"/>
      <c r="C50" s="108">
        <v>43350</v>
      </c>
      <c r="D50" s="26">
        <v>10306806</v>
      </c>
      <c r="E50" s="27" t="str">
        <f>VLOOKUP(D50,[1]TERCEROS!$A$2:$C$4000,3,FALSE)</f>
        <v>JAIRO ALBERTO MOSQUERA SAAVEDRA</v>
      </c>
      <c r="F50" s="28" t="s">
        <v>128</v>
      </c>
      <c r="G50" s="29">
        <v>100000</v>
      </c>
      <c r="H50" s="30"/>
      <c r="I50" s="31">
        <f t="shared" si="0"/>
        <v>100000</v>
      </c>
    </row>
    <row r="51" spans="1:9" s="1" customFormat="1" ht="14.5" x14ac:dyDescent="0.35">
      <c r="A51" s="83">
        <v>42</v>
      </c>
      <c r="B51" s="326"/>
      <c r="C51" s="108">
        <v>43348</v>
      </c>
      <c r="D51" s="26">
        <v>11442335</v>
      </c>
      <c r="E51" s="27" t="s">
        <v>129</v>
      </c>
      <c r="F51" s="28" t="s">
        <v>130</v>
      </c>
      <c r="G51" s="29">
        <v>156400</v>
      </c>
      <c r="H51" s="30"/>
      <c r="I51" s="31">
        <f t="shared" si="0"/>
        <v>156400</v>
      </c>
    </row>
    <row r="52" spans="1:9" s="1" customFormat="1" ht="14.5" x14ac:dyDescent="0.35">
      <c r="A52" s="83">
        <v>43</v>
      </c>
      <c r="B52" s="326"/>
      <c r="C52" s="108">
        <v>43348</v>
      </c>
      <c r="D52" s="26">
        <v>79265435</v>
      </c>
      <c r="E52" s="27" t="s">
        <v>131</v>
      </c>
      <c r="F52" s="28" t="s">
        <v>132</v>
      </c>
      <c r="G52" s="29">
        <v>49700</v>
      </c>
      <c r="H52" s="30"/>
      <c r="I52" s="31">
        <f t="shared" si="0"/>
        <v>49700</v>
      </c>
    </row>
    <row r="53" spans="1:9" s="1" customFormat="1" ht="15" thickBot="1" x14ac:dyDescent="0.4">
      <c r="A53" s="83">
        <v>44</v>
      </c>
      <c r="B53" s="326"/>
      <c r="C53" s="108">
        <v>43345</v>
      </c>
      <c r="D53" s="26">
        <v>900953424</v>
      </c>
      <c r="E53" s="27" t="s">
        <v>133</v>
      </c>
      <c r="F53" s="28" t="s">
        <v>130</v>
      </c>
      <c r="G53" s="29">
        <v>133500</v>
      </c>
      <c r="H53" s="30"/>
      <c r="I53" s="31">
        <f t="shared" si="0"/>
        <v>133500</v>
      </c>
    </row>
    <row r="54" spans="1:9" s="1" customFormat="1" ht="14.5" x14ac:dyDescent="0.35">
      <c r="A54" s="82">
        <v>45</v>
      </c>
      <c r="B54" s="326"/>
      <c r="C54" s="108">
        <v>43347</v>
      </c>
      <c r="D54" s="26">
        <v>22222222</v>
      </c>
      <c r="E54" s="27" t="s">
        <v>134</v>
      </c>
      <c r="F54" s="28" t="s">
        <v>128</v>
      </c>
      <c r="G54" s="29">
        <v>130000</v>
      </c>
      <c r="H54" s="30"/>
      <c r="I54" s="31">
        <f t="shared" si="0"/>
        <v>130000</v>
      </c>
    </row>
    <row r="55" spans="1:9" s="1" customFormat="1" ht="14.5" x14ac:dyDescent="0.35">
      <c r="A55" s="83">
        <v>46</v>
      </c>
      <c r="B55" s="326"/>
      <c r="C55" s="108">
        <v>43349</v>
      </c>
      <c r="D55" s="26">
        <v>12144105</v>
      </c>
      <c r="E55" s="27" t="str">
        <f>VLOOKUP(D55,[1]TERCEROS!$A$2:$C$4000,3,FALSE)</f>
        <v>VILLA JAVIER JIMENEZ</v>
      </c>
      <c r="F55" s="28" t="s">
        <v>128</v>
      </c>
      <c r="G55" s="29">
        <v>100000</v>
      </c>
      <c r="H55" s="30"/>
      <c r="I55" s="31">
        <f t="shared" si="0"/>
        <v>100000</v>
      </c>
    </row>
    <row r="56" spans="1:9" s="1" customFormat="1" ht="14.5" x14ac:dyDescent="0.35">
      <c r="A56" s="83">
        <v>47</v>
      </c>
      <c r="B56" s="326"/>
      <c r="C56" s="108">
        <v>43350</v>
      </c>
      <c r="D56" s="26">
        <v>22222222</v>
      </c>
      <c r="E56" s="27" t="s">
        <v>135</v>
      </c>
      <c r="F56" s="28" t="s">
        <v>136</v>
      </c>
      <c r="G56" s="29">
        <v>8600</v>
      </c>
      <c r="H56" s="30"/>
      <c r="I56" s="31">
        <f t="shared" si="0"/>
        <v>8600</v>
      </c>
    </row>
    <row r="57" spans="1:9" s="1" customFormat="1" ht="15" thickBot="1" x14ac:dyDescent="0.4">
      <c r="A57" s="83">
        <v>48</v>
      </c>
      <c r="B57" s="326"/>
      <c r="C57" s="108">
        <v>43347</v>
      </c>
      <c r="D57" s="26">
        <v>1039090799</v>
      </c>
      <c r="E57" s="27" t="str">
        <f>VLOOKUP(D57,[1]TERCEROS!$A$2:$C$4000,3,FALSE)</f>
        <v>NISPERUZA ARRIETA YAISLLETH JUDITH</v>
      </c>
      <c r="F57" s="28" t="s">
        <v>137</v>
      </c>
      <c r="G57" s="29">
        <v>32700</v>
      </c>
      <c r="H57" s="30"/>
      <c r="I57" s="31">
        <f t="shared" si="0"/>
        <v>32700</v>
      </c>
    </row>
    <row r="58" spans="1:9" s="1" customFormat="1" ht="14.5" x14ac:dyDescent="0.35">
      <c r="A58" s="82">
        <v>49</v>
      </c>
      <c r="B58" s="326"/>
      <c r="C58" s="108">
        <v>43349</v>
      </c>
      <c r="D58" s="26">
        <v>1030607655</v>
      </c>
      <c r="E58" s="27" t="str">
        <f>VLOOKUP(D58,[1]TERCEROS!$A$2:$C$4000,3,FALSE)</f>
        <v>VANEGAS MENDEZ ERIKA TATIANA</v>
      </c>
      <c r="F58" s="28" t="s">
        <v>138</v>
      </c>
      <c r="G58" s="29">
        <v>12800</v>
      </c>
      <c r="H58" s="30"/>
      <c r="I58" s="31">
        <f t="shared" si="0"/>
        <v>12800</v>
      </c>
    </row>
    <row r="59" spans="1:9" s="1" customFormat="1" ht="14.5" x14ac:dyDescent="0.35">
      <c r="A59" s="83">
        <v>50</v>
      </c>
      <c r="B59" s="326"/>
      <c r="C59" s="108">
        <v>43348</v>
      </c>
      <c r="D59" s="26">
        <v>1039090799</v>
      </c>
      <c r="E59" s="27" t="str">
        <f>VLOOKUP(D59,[1]TERCEROS!$A$2:$C$4000,3,FALSE)</f>
        <v>NISPERUZA ARRIETA YAISLLETH JUDITH</v>
      </c>
      <c r="F59" s="28" t="s">
        <v>139</v>
      </c>
      <c r="G59" s="29">
        <v>10000</v>
      </c>
      <c r="H59" s="30"/>
      <c r="I59" s="31">
        <f t="shared" si="0"/>
        <v>10000</v>
      </c>
    </row>
    <row r="60" spans="1:9" s="1" customFormat="1" ht="14.5" x14ac:dyDescent="0.35">
      <c r="A60" s="83">
        <v>51</v>
      </c>
      <c r="B60" s="326"/>
      <c r="C60" s="108">
        <v>43349</v>
      </c>
      <c r="D60" s="26">
        <v>80819871</v>
      </c>
      <c r="E60" s="27" t="str">
        <f>VLOOKUP(D60,[1]TERCEROS!$A$2:$C$4000,3,FALSE)</f>
        <v>DIAZ CARDENAS LUIS GABRIEL</v>
      </c>
      <c r="F60" s="28" t="s">
        <v>139</v>
      </c>
      <c r="G60" s="29">
        <v>10000</v>
      </c>
      <c r="H60" s="30"/>
      <c r="I60" s="31">
        <f t="shared" si="0"/>
        <v>10000</v>
      </c>
    </row>
    <row r="61" spans="1:9" s="1" customFormat="1" ht="15" thickBot="1" x14ac:dyDescent="0.4">
      <c r="A61" s="83">
        <v>52</v>
      </c>
      <c r="B61" s="326"/>
      <c r="C61" s="108">
        <v>43349</v>
      </c>
      <c r="D61" s="26">
        <v>22222222</v>
      </c>
      <c r="E61" s="27" t="s">
        <v>140</v>
      </c>
      <c r="F61" s="28" t="s">
        <v>141</v>
      </c>
      <c r="G61" s="29">
        <v>69000</v>
      </c>
      <c r="H61" s="30"/>
      <c r="I61" s="31">
        <f t="shared" si="0"/>
        <v>69000</v>
      </c>
    </row>
    <row r="62" spans="1:9" s="1" customFormat="1" ht="14.5" x14ac:dyDescent="0.35">
      <c r="A62" s="82">
        <v>53</v>
      </c>
      <c r="B62" s="326"/>
      <c r="C62" s="108">
        <v>43349</v>
      </c>
      <c r="D62" s="26">
        <v>1074184321</v>
      </c>
      <c r="E62" s="27" t="s">
        <v>142</v>
      </c>
      <c r="F62" s="28" t="s">
        <v>112</v>
      </c>
      <c r="G62" s="29">
        <v>25000</v>
      </c>
      <c r="H62" s="30"/>
      <c r="I62" s="31">
        <f t="shared" si="0"/>
        <v>25000</v>
      </c>
    </row>
    <row r="63" spans="1:9" s="1" customFormat="1" ht="14.5" x14ac:dyDescent="0.35">
      <c r="A63" s="83">
        <v>54</v>
      </c>
      <c r="B63" s="326"/>
      <c r="C63" s="108">
        <v>43349</v>
      </c>
      <c r="D63" s="26">
        <v>4216809</v>
      </c>
      <c r="E63" s="27" t="s">
        <v>143</v>
      </c>
      <c r="F63" s="28" t="s">
        <v>144</v>
      </c>
      <c r="G63" s="29">
        <v>27000</v>
      </c>
      <c r="H63" s="30"/>
      <c r="I63" s="31">
        <f t="shared" si="0"/>
        <v>27000</v>
      </c>
    </row>
    <row r="64" spans="1:9" s="1" customFormat="1" ht="14.5" x14ac:dyDescent="0.35">
      <c r="A64" s="83">
        <v>55</v>
      </c>
      <c r="B64" s="326"/>
      <c r="C64" s="108">
        <v>43349</v>
      </c>
      <c r="D64" s="26">
        <v>900959347</v>
      </c>
      <c r="E64" s="27" t="str">
        <f>VLOOKUP(D64,[1]TERCEROS!$A$2:$C$4000,3,FALSE)</f>
        <v>DESCO SERVICIOS SAS</v>
      </c>
      <c r="F64" s="28" t="s">
        <v>34</v>
      </c>
      <c r="G64" s="29">
        <v>20000</v>
      </c>
      <c r="H64" s="30"/>
      <c r="I64" s="31">
        <f t="shared" si="0"/>
        <v>20000</v>
      </c>
    </row>
    <row r="65" spans="1:9" s="1" customFormat="1" ht="15" thickBot="1" x14ac:dyDescent="0.4">
      <c r="A65" s="83">
        <v>56</v>
      </c>
      <c r="B65" s="326"/>
      <c r="C65" s="108">
        <v>43349</v>
      </c>
      <c r="D65" s="26">
        <v>900491889</v>
      </c>
      <c r="E65" s="27" t="str">
        <f>VLOOKUP(D65,[1]TERCEROS!$A$2:$C$4000,3,FALSE)</f>
        <v>EDS TERMINAL NEIVA</v>
      </c>
      <c r="F65" s="28" t="s">
        <v>34</v>
      </c>
      <c r="G65" s="29">
        <v>20000</v>
      </c>
      <c r="H65" s="30"/>
      <c r="I65" s="31">
        <f t="shared" si="0"/>
        <v>20000</v>
      </c>
    </row>
    <row r="66" spans="1:9" s="1" customFormat="1" ht="14.5" x14ac:dyDescent="0.35">
      <c r="A66" s="82">
        <v>57</v>
      </c>
      <c r="B66" s="326"/>
      <c r="C66" s="108">
        <v>43351</v>
      </c>
      <c r="D66" s="26">
        <v>70813624</v>
      </c>
      <c r="E66" s="27" t="str">
        <f>VLOOKUP(D66,[1]TERCEROS!$A$2:$C$4000,3,FALSE)</f>
        <v xml:space="preserve">RESTAURANTE SAN CHORIZO </v>
      </c>
      <c r="F66" s="28" t="s">
        <v>130</v>
      </c>
      <c r="G66" s="29">
        <v>100200</v>
      </c>
      <c r="H66" s="30"/>
      <c r="I66" s="31">
        <f t="shared" si="0"/>
        <v>100200</v>
      </c>
    </row>
    <row r="67" spans="1:9" s="1" customFormat="1" ht="14.5" x14ac:dyDescent="0.35">
      <c r="A67" s="83">
        <v>58</v>
      </c>
      <c r="B67" s="326"/>
      <c r="C67" s="108">
        <v>43348</v>
      </c>
      <c r="D67" s="26">
        <v>900126863</v>
      </c>
      <c r="E67" s="27" t="str">
        <f>VLOOKUP(D67,[1]TERCEROS!$A$2:$C$4000,3,FALSE)</f>
        <v>EDS TERPEL AV CALLE 80</v>
      </c>
      <c r="F67" s="28" t="s">
        <v>34</v>
      </c>
      <c r="G67" s="29">
        <v>30000</v>
      </c>
      <c r="H67" s="30"/>
      <c r="I67" s="31">
        <f t="shared" si="0"/>
        <v>30000</v>
      </c>
    </row>
    <row r="68" spans="1:9" s="1" customFormat="1" ht="14.5" x14ac:dyDescent="0.35">
      <c r="A68" s="83">
        <v>59</v>
      </c>
      <c r="B68" s="326"/>
      <c r="C68" s="108">
        <v>43346</v>
      </c>
      <c r="D68" s="26">
        <v>1072655064</v>
      </c>
      <c r="E68" s="27" t="s">
        <v>145</v>
      </c>
      <c r="F68" s="28" t="s">
        <v>130</v>
      </c>
      <c r="G68" s="29">
        <v>110900</v>
      </c>
      <c r="H68" s="30"/>
      <c r="I68" s="31">
        <f t="shared" si="0"/>
        <v>110900</v>
      </c>
    </row>
    <row r="69" spans="1:9" s="1" customFormat="1" ht="15" thickBot="1" x14ac:dyDescent="0.4">
      <c r="A69" s="83">
        <v>60</v>
      </c>
      <c r="B69" s="326"/>
      <c r="C69" s="108">
        <v>43347</v>
      </c>
      <c r="D69" s="26">
        <v>12254707</v>
      </c>
      <c r="E69" s="27" t="s">
        <v>146</v>
      </c>
      <c r="F69" s="28" t="s">
        <v>147</v>
      </c>
      <c r="G69" s="29">
        <v>97700</v>
      </c>
      <c r="H69" s="30"/>
      <c r="I69" s="31">
        <f t="shared" si="0"/>
        <v>97700</v>
      </c>
    </row>
    <row r="70" spans="1:9" s="1" customFormat="1" ht="14.5" x14ac:dyDescent="0.35">
      <c r="A70" s="82">
        <v>61</v>
      </c>
      <c r="B70" s="326"/>
      <c r="C70" s="108">
        <v>43346</v>
      </c>
      <c r="D70" s="26">
        <v>80819871</v>
      </c>
      <c r="E70" s="27" t="str">
        <f>VLOOKUP(D70,[1]TERCEROS!$A$2:$C$4000,3,FALSE)</f>
        <v>DIAZ CARDENAS LUIS GABRIEL</v>
      </c>
      <c r="F70" s="28" t="s">
        <v>139</v>
      </c>
      <c r="G70" s="29">
        <v>13800</v>
      </c>
      <c r="H70" s="30"/>
      <c r="I70" s="31">
        <f t="shared" si="0"/>
        <v>13800</v>
      </c>
    </row>
    <row r="71" spans="1:9" s="1" customFormat="1" ht="14.5" x14ac:dyDescent="0.35">
      <c r="A71" s="83">
        <v>62</v>
      </c>
      <c r="B71" s="326"/>
      <c r="C71" s="108">
        <v>43346</v>
      </c>
      <c r="D71" s="26">
        <v>72151045</v>
      </c>
      <c r="E71" s="27" t="str">
        <f>VLOOKUP(D71,[1]TERCEROS!$A$2:$C$4000,3,FALSE)</f>
        <v>EDINSON ROMERO</v>
      </c>
      <c r="F71" s="28" t="s">
        <v>148</v>
      </c>
      <c r="G71" s="29">
        <v>14000</v>
      </c>
      <c r="H71" s="30"/>
      <c r="I71" s="31">
        <f t="shared" si="0"/>
        <v>14000</v>
      </c>
    </row>
    <row r="72" spans="1:9" s="1" customFormat="1" ht="15" thickBot="1" x14ac:dyDescent="0.4">
      <c r="A72" s="83">
        <v>63</v>
      </c>
      <c r="B72" s="348"/>
      <c r="C72" s="132">
        <v>43348</v>
      </c>
      <c r="D72" s="91">
        <v>72151045</v>
      </c>
      <c r="E72" s="92" t="str">
        <f>VLOOKUP(D72,[1]TERCEROS!$A$2:$C$4000,3,FALSE)</f>
        <v>EDINSON ROMERO</v>
      </c>
      <c r="F72" s="86" t="s">
        <v>148</v>
      </c>
      <c r="G72" s="87">
        <v>14000</v>
      </c>
      <c r="H72" s="88"/>
      <c r="I72" s="89">
        <f t="shared" si="0"/>
        <v>14000</v>
      </c>
    </row>
    <row r="73" spans="1:9" s="1" customFormat="1" ht="15" thickBot="1" x14ac:dyDescent="0.4">
      <c r="A73" s="83">
        <v>64</v>
      </c>
      <c r="B73" s="340" t="s">
        <v>49</v>
      </c>
      <c r="C73" s="107">
        <v>43346</v>
      </c>
      <c r="D73" s="17">
        <v>13685575</v>
      </c>
      <c r="E73" s="18" t="s">
        <v>149</v>
      </c>
      <c r="F73" s="19" t="s">
        <v>150</v>
      </c>
      <c r="G73" s="20">
        <v>14000</v>
      </c>
      <c r="H73" s="21"/>
      <c r="I73" s="22">
        <f t="shared" si="0"/>
        <v>14000</v>
      </c>
    </row>
    <row r="74" spans="1:9" s="1" customFormat="1" ht="14.5" x14ac:dyDescent="0.35">
      <c r="A74" s="82">
        <v>65</v>
      </c>
      <c r="B74" s="341"/>
      <c r="C74" s="108">
        <v>43350</v>
      </c>
      <c r="D74" s="26">
        <v>800097424</v>
      </c>
      <c r="E74" s="27" t="str">
        <f>VLOOKUP(D74,[1]TERCEROS!$A$2:$C$4000,3,FALSE)</f>
        <v>DISTRIBUIDORA LA PUNTA LTDA</v>
      </c>
      <c r="F74" s="28" t="s">
        <v>151</v>
      </c>
      <c r="G74" s="29">
        <v>8100</v>
      </c>
      <c r="H74" s="30">
        <f t="shared" ref="H74:H79" si="1">G74*19%</f>
        <v>1539</v>
      </c>
      <c r="I74" s="31">
        <f t="shared" si="0"/>
        <v>9639</v>
      </c>
    </row>
    <row r="75" spans="1:9" s="1" customFormat="1" ht="14.5" x14ac:dyDescent="0.35">
      <c r="A75" s="83">
        <v>66</v>
      </c>
      <c r="B75" s="341"/>
      <c r="C75" s="108">
        <v>43349</v>
      </c>
      <c r="D75" s="26">
        <v>860511571</v>
      </c>
      <c r="E75" s="27" t="str">
        <f>VLOOKUP(D75,[1]TERCEROS!$A$2:$C$4000,3,FALSE)</f>
        <v>ELECTRICOS BOGOTA LTDA</v>
      </c>
      <c r="F75" s="28" t="s">
        <v>152</v>
      </c>
      <c r="G75" s="29">
        <v>44000</v>
      </c>
      <c r="H75" s="30">
        <f t="shared" si="1"/>
        <v>8360</v>
      </c>
      <c r="I75" s="31">
        <f t="shared" si="0"/>
        <v>52360</v>
      </c>
    </row>
    <row r="76" spans="1:9" s="1" customFormat="1" ht="14.5" x14ac:dyDescent="0.35">
      <c r="A76" s="83">
        <v>67</v>
      </c>
      <c r="B76" s="341"/>
      <c r="C76" s="108">
        <v>43349</v>
      </c>
      <c r="D76" s="26">
        <v>830037946</v>
      </c>
      <c r="E76" s="27" t="str">
        <f>VLOOKUP(D76,[1]TERCEROS!$A$2:$C$4000,3,FALSE)</f>
        <v>PANAMERICANA SA</v>
      </c>
      <c r="F76" s="28" t="s">
        <v>153</v>
      </c>
      <c r="G76" s="29">
        <v>12521</v>
      </c>
      <c r="H76" s="30">
        <f t="shared" si="1"/>
        <v>2378.9900000000002</v>
      </c>
      <c r="I76" s="31">
        <f t="shared" si="0"/>
        <v>14899.99</v>
      </c>
    </row>
    <row r="77" spans="1:9" s="1" customFormat="1" ht="15" thickBot="1" x14ac:dyDescent="0.4">
      <c r="A77" s="83">
        <v>68</v>
      </c>
      <c r="B77" s="341"/>
      <c r="C77" s="108">
        <v>43349</v>
      </c>
      <c r="D77" s="26">
        <v>19460496</v>
      </c>
      <c r="E77" s="27" t="str">
        <f>VLOOKUP(D77,[1]TERCEROS!$A$2:$C$4000,3,FALSE)</f>
        <v>MAURICIO ANTONIO ROMERO GIL</v>
      </c>
      <c r="F77" s="28" t="s">
        <v>154</v>
      </c>
      <c r="G77" s="29">
        <v>73550</v>
      </c>
      <c r="H77" s="30">
        <f t="shared" si="1"/>
        <v>13974.5</v>
      </c>
      <c r="I77" s="31">
        <f t="shared" si="0"/>
        <v>87524.5</v>
      </c>
    </row>
    <row r="78" spans="1:9" s="1" customFormat="1" ht="14.5" x14ac:dyDescent="0.35">
      <c r="A78" s="82">
        <v>69</v>
      </c>
      <c r="B78" s="341"/>
      <c r="C78" s="108">
        <v>43347</v>
      </c>
      <c r="D78" s="26">
        <v>41731080</v>
      </c>
      <c r="E78" s="27" t="str">
        <f>VLOOKUP(D78,[1]TERCEROS!$A$2:$C$4000,3,FALSE)</f>
        <v>MANCERA RODRIGUEZ LUZ MARINA</v>
      </c>
      <c r="F78" s="28" t="s">
        <v>155</v>
      </c>
      <c r="G78" s="29">
        <v>161352</v>
      </c>
      <c r="H78" s="30">
        <f t="shared" si="1"/>
        <v>30656.880000000001</v>
      </c>
      <c r="I78" s="31">
        <f t="shared" si="0"/>
        <v>192008.88</v>
      </c>
    </row>
    <row r="79" spans="1:9" s="1" customFormat="1" ht="15" thickBot="1" x14ac:dyDescent="0.4">
      <c r="A79" s="83">
        <v>70</v>
      </c>
      <c r="B79" s="346"/>
      <c r="C79" s="109">
        <v>43349</v>
      </c>
      <c r="D79" s="110">
        <v>900144253</v>
      </c>
      <c r="E79" s="111" t="s">
        <v>156</v>
      </c>
      <c r="F79" s="112" t="s">
        <v>157</v>
      </c>
      <c r="G79" s="113">
        <v>37350</v>
      </c>
      <c r="H79" s="114">
        <f t="shared" si="1"/>
        <v>7096.5</v>
      </c>
      <c r="I79" s="115">
        <f t="shared" si="0"/>
        <v>44446.5</v>
      </c>
    </row>
    <row r="80" spans="1:9" s="1" customFormat="1" ht="18.75" customHeight="1" thickBot="1" x14ac:dyDescent="0.4">
      <c r="A80" s="83">
        <v>71</v>
      </c>
      <c r="B80" s="9" t="s">
        <v>158</v>
      </c>
      <c r="C80" s="126">
        <v>43350</v>
      </c>
      <c r="D80" s="127">
        <v>830001007</v>
      </c>
      <c r="E80" s="145" t="s">
        <v>159</v>
      </c>
      <c r="F80" s="128" t="s">
        <v>160</v>
      </c>
      <c r="G80" s="129">
        <v>126000</v>
      </c>
      <c r="H80" s="130"/>
      <c r="I80" s="131">
        <f t="shared" si="0"/>
        <v>126000</v>
      </c>
    </row>
    <row r="81" spans="1:37" s="1" customFormat="1" ht="18.75" customHeight="1" thickBot="1" x14ac:dyDescent="0.4">
      <c r="A81" s="83">
        <v>72</v>
      </c>
      <c r="B81" s="347" t="s">
        <v>32</v>
      </c>
      <c r="C81" s="107">
        <v>43352</v>
      </c>
      <c r="D81" s="17">
        <v>830054076</v>
      </c>
      <c r="E81" s="18" t="str">
        <f>VLOOKUP(D81,[1]TERCEROS!$A$2:$C$4000,3,FALSE)</f>
        <v>FIDEICOMISOS SOCIEDAD FIDUCIARIA</v>
      </c>
      <c r="F81" s="19" t="s">
        <v>33</v>
      </c>
      <c r="G81" s="20">
        <v>9700</v>
      </c>
      <c r="H81" s="21"/>
      <c r="I81" s="22">
        <f t="shared" si="0"/>
        <v>9700</v>
      </c>
    </row>
    <row r="82" spans="1:37" s="1" customFormat="1" ht="18.75" customHeight="1" x14ac:dyDescent="0.35">
      <c r="A82" s="82">
        <v>73</v>
      </c>
      <c r="B82" s="326"/>
      <c r="C82" s="108">
        <v>43350</v>
      </c>
      <c r="D82" s="26">
        <v>830054076</v>
      </c>
      <c r="E82" s="27" t="str">
        <f>VLOOKUP(D82,[1]TERCEROS!$A$2:$C$4000,3,FALSE)</f>
        <v>FIDEICOMISOS SOCIEDAD FIDUCIARIA</v>
      </c>
      <c r="F82" s="28" t="s">
        <v>33</v>
      </c>
      <c r="G82" s="29">
        <v>9700</v>
      </c>
      <c r="H82" s="30"/>
      <c r="I82" s="31">
        <f t="shared" si="0"/>
        <v>9700</v>
      </c>
    </row>
    <row r="83" spans="1:37" s="1" customFormat="1" ht="18.75" customHeight="1" x14ac:dyDescent="0.35">
      <c r="A83" s="83">
        <v>74</v>
      </c>
      <c r="B83" s="326"/>
      <c r="C83" s="108">
        <v>43352</v>
      </c>
      <c r="D83" s="26">
        <v>830054076</v>
      </c>
      <c r="E83" s="27" t="str">
        <f>VLOOKUP(D83,[1]TERCEROS!$A$2:$C$4000,3,FALSE)</f>
        <v>FIDEICOMISOS SOCIEDAD FIDUCIARIA</v>
      </c>
      <c r="F83" s="28" t="s">
        <v>33</v>
      </c>
      <c r="G83" s="29">
        <v>9700</v>
      </c>
      <c r="H83" s="30"/>
      <c r="I83" s="31">
        <f t="shared" si="0"/>
        <v>9700</v>
      </c>
    </row>
    <row r="84" spans="1:37" s="1" customFormat="1" ht="18.75" customHeight="1" x14ac:dyDescent="0.35">
      <c r="A84" s="83">
        <v>75</v>
      </c>
      <c r="B84" s="326"/>
      <c r="C84" s="108">
        <v>43352</v>
      </c>
      <c r="D84" s="26">
        <v>830054076</v>
      </c>
      <c r="E84" s="27" t="str">
        <f>VLOOKUP(D84,[1]TERCEROS!$A$2:$C$4000,3,FALSE)</f>
        <v>FIDEICOMISOS SOCIEDAD FIDUCIARIA</v>
      </c>
      <c r="F84" s="28" t="s">
        <v>33</v>
      </c>
      <c r="G84" s="29">
        <v>9700</v>
      </c>
      <c r="H84" s="30"/>
      <c r="I84" s="31">
        <f t="shared" si="0"/>
        <v>9700</v>
      </c>
    </row>
    <row r="85" spans="1:37" s="1" customFormat="1" ht="18.75" customHeight="1" thickBot="1" x14ac:dyDescent="0.4">
      <c r="A85" s="83">
        <v>76</v>
      </c>
      <c r="B85" s="326"/>
      <c r="C85" s="108">
        <v>43353</v>
      </c>
      <c r="D85" s="26">
        <v>830054076</v>
      </c>
      <c r="E85" s="27" t="str">
        <f>VLOOKUP(D85,[1]TERCEROS!$A$2:$C$4000,3,FALSE)</f>
        <v>FIDEICOMISOS SOCIEDAD FIDUCIARIA</v>
      </c>
      <c r="F85" s="28" t="s">
        <v>33</v>
      </c>
      <c r="G85" s="29">
        <v>9700</v>
      </c>
      <c r="H85" s="30"/>
      <c r="I85" s="31">
        <f t="shared" si="0"/>
        <v>9700</v>
      </c>
    </row>
    <row r="86" spans="1:37" s="1" customFormat="1" ht="18.75" customHeight="1" x14ac:dyDescent="0.35">
      <c r="A86" s="82">
        <v>77</v>
      </c>
      <c r="B86" s="326"/>
      <c r="C86" s="108">
        <v>43350</v>
      </c>
      <c r="D86" s="26">
        <v>830054076</v>
      </c>
      <c r="E86" s="27" t="str">
        <f>VLOOKUP(D86,[1]TERCEROS!$A$2:$C$4000,3,FALSE)</f>
        <v>FIDEICOMISOS SOCIEDAD FIDUCIARIA</v>
      </c>
      <c r="F86" s="28" t="s">
        <v>33</v>
      </c>
      <c r="G86" s="29">
        <v>9700</v>
      </c>
      <c r="H86" s="30"/>
      <c r="I86" s="31">
        <f t="shared" si="0"/>
        <v>9700</v>
      </c>
    </row>
    <row r="87" spans="1:37" s="1" customFormat="1" ht="18.75" customHeight="1" x14ac:dyDescent="0.35">
      <c r="A87" s="83">
        <v>78</v>
      </c>
      <c r="B87" s="326"/>
      <c r="C87" s="108">
        <v>43350</v>
      </c>
      <c r="D87" s="26">
        <v>830054076</v>
      </c>
      <c r="E87" s="27" t="str">
        <f>VLOOKUP(D87,[1]TERCEROS!$A$2:$C$4000,3,FALSE)</f>
        <v>FIDEICOMISOS SOCIEDAD FIDUCIARIA</v>
      </c>
      <c r="F87" s="28" t="s">
        <v>33</v>
      </c>
      <c r="G87" s="29">
        <v>9700</v>
      </c>
      <c r="H87" s="30"/>
      <c r="I87" s="31">
        <f t="shared" si="0"/>
        <v>9700</v>
      </c>
    </row>
    <row r="88" spans="1:37" s="1" customFormat="1" ht="18.75" customHeight="1" x14ac:dyDescent="0.35">
      <c r="A88" s="83">
        <v>79</v>
      </c>
      <c r="B88" s="326"/>
      <c r="C88" s="108">
        <v>43352</v>
      </c>
      <c r="D88" s="26">
        <v>19202945</v>
      </c>
      <c r="E88" s="27" t="s">
        <v>162</v>
      </c>
      <c r="F88" s="28" t="s">
        <v>163</v>
      </c>
      <c r="G88" s="29">
        <v>3500</v>
      </c>
      <c r="H88" s="30"/>
      <c r="I88" s="31">
        <f t="shared" si="0"/>
        <v>3500</v>
      </c>
    </row>
    <row r="89" spans="1:37" s="1" customFormat="1" ht="18.75" customHeight="1" thickBot="1" x14ac:dyDescent="0.4">
      <c r="A89" s="83">
        <v>80</v>
      </c>
      <c r="B89" s="326"/>
      <c r="C89" s="108">
        <v>43346</v>
      </c>
      <c r="D89" s="26">
        <v>1010217783</v>
      </c>
      <c r="E89" s="27" t="s">
        <v>164</v>
      </c>
      <c r="F89" s="28" t="s">
        <v>163</v>
      </c>
      <c r="G89" s="29">
        <v>6500</v>
      </c>
      <c r="H89" s="30"/>
      <c r="I89" s="31">
        <f t="shared" si="0"/>
        <v>6500</v>
      </c>
    </row>
    <row r="90" spans="1:37" s="1" customFormat="1" ht="18.75" customHeight="1" x14ac:dyDescent="0.35">
      <c r="A90" s="82">
        <v>81</v>
      </c>
      <c r="B90" s="326"/>
      <c r="C90" s="108">
        <v>43351</v>
      </c>
      <c r="D90" s="26">
        <v>40379188</v>
      </c>
      <c r="E90" s="27" t="s">
        <v>165</v>
      </c>
      <c r="F90" s="28" t="s">
        <v>163</v>
      </c>
      <c r="G90" s="29">
        <v>12400</v>
      </c>
      <c r="H90" s="30"/>
      <c r="I90" s="31">
        <f t="shared" si="0"/>
        <v>12400</v>
      </c>
    </row>
    <row r="91" spans="1:37" s="1" customFormat="1" ht="18.75" customHeight="1" x14ac:dyDescent="0.35">
      <c r="A91" s="83">
        <v>82</v>
      </c>
      <c r="B91" s="326"/>
      <c r="C91" s="108">
        <v>43319</v>
      </c>
      <c r="D91" s="26">
        <v>40379188</v>
      </c>
      <c r="E91" s="27" t="s">
        <v>166</v>
      </c>
      <c r="F91" s="28" t="s">
        <v>163</v>
      </c>
      <c r="G91" s="29">
        <v>12200</v>
      </c>
      <c r="H91" s="30"/>
      <c r="I91" s="31">
        <f t="shared" si="0"/>
        <v>12200</v>
      </c>
    </row>
    <row r="92" spans="1:37" s="1" customFormat="1" ht="18.75" customHeight="1" x14ac:dyDescent="0.35">
      <c r="A92" s="83">
        <v>83</v>
      </c>
      <c r="B92" s="326"/>
      <c r="C92" s="108">
        <v>43351</v>
      </c>
      <c r="D92" s="26">
        <v>800091165</v>
      </c>
      <c r="E92" s="27" t="s">
        <v>69</v>
      </c>
      <c r="F92" s="28" t="s">
        <v>35</v>
      </c>
      <c r="G92" s="29">
        <v>6000</v>
      </c>
      <c r="H92" s="30"/>
      <c r="I92" s="31">
        <f t="shared" si="0"/>
        <v>6000</v>
      </c>
    </row>
    <row r="93" spans="1:37" s="1" customFormat="1" ht="18.75" customHeight="1" thickBot="1" x14ac:dyDescent="0.4">
      <c r="A93" s="83">
        <v>84</v>
      </c>
      <c r="B93" s="326"/>
      <c r="C93" s="108">
        <v>43350</v>
      </c>
      <c r="D93" s="26">
        <v>1074184321</v>
      </c>
      <c r="E93" s="27" t="str">
        <f>VLOOKUP(D93,[1]TERCEROS!$A$2:$C$4000,3,FALSE)</f>
        <v>AUTOLAVADO Y PARQUEADERO SANTA JIMENA</v>
      </c>
      <c r="F93" s="28" t="s">
        <v>167</v>
      </c>
      <c r="G93" s="29">
        <v>25000</v>
      </c>
      <c r="H93" s="30"/>
      <c r="I93" s="31">
        <f t="shared" si="0"/>
        <v>25000</v>
      </c>
    </row>
    <row r="94" spans="1:37" s="1" customFormat="1" ht="18.75" customHeight="1" x14ac:dyDescent="0.35">
      <c r="A94" s="82">
        <v>85</v>
      </c>
      <c r="B94" s="326"/>
      <c r="C94" s="108">
        <v>43352</v>
      </c>
      <c r="D94" s="26">
        <v>52898111</v>
      </c>
      <c r="E94" s="27" t="s">
        <v>168</v>
      </c>
      <c r="F94" s="28" t="s">
        <v>112</v>
      </c>
      <c r="G94" s="29">
        <v>25000</v>
      </c>
      <c r="H94" s="30"/>
      <c r="I94" s="31">
        <f t="shared" si="0"/>
        <v>25000</v>
      </c>
    </row>
    <row r="95" spans="1:37" s="1" customFormat="1" ht="18.75" customHeight="1" thickBot="1" x14ac:dyDescent="0.4">
      <c r="A95" s="83">
        <v>86</v>
      </c>
      <c r="B95" s="348"/>
      <c r="C95" s="109">
        <v>43351</v>
      </c>
      <c r="D95" s="110">
        <v>1039090799</v>
      </c>
      <c r="E95" s="111" t="str">
        <f>VLOOKUP(D95,[1]TERCEROS!$A$2:$C$4000,3,FALSE)</f>
        <v>NISPERUZA ARRIETA YAISLLETH JUDITH</v>
      </c>
      <c r="F95" s="112" t="s">
        <v>169</v>
      </c>
      <c r="G95" s="113">
        <v>11500</v>
      </c>
      <c r="H95" s="114"/>
      <c r="I95" s="115">
        <f t="shared" si="0"/>
        <v>11500</v>
      </c>
    </row>
    <row r="96" spans="1:37" s="2" customFormat="1" ht="15.75" customHeight="1" thickBot="1" x14ac:dyDescent="0.4">
      <c r="A96" s="335">
        <v>43353</v>
      </c>
      <c r="B96" s="329"/>
      <c r="C96" s="329"/>
      <c r="D96" s="329"/>
      <c r="E96" s="330"/>
      <c r="F96" s="93" t="s">
        <v>24</v>
      </c>
      <c r="G96" s="94">
        <f>SUM(G10:G95)</f>
        <v>2332473</v>
      </c>
      <c r="H96" s="94"/>
      <c r="I96" s="94">
        <f>SUM(I10:I95)</f>
        <v>2396478.87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s="2" customFormat="1" ht="15" customHeight="1" x14ac:dyDescent="0.35">
      <c r="A97" s="300" t="s">
        <v>26</v>
      </c>
      <c r="B97" s="301"/>
      <c r="C97" s="301"/>
      <c r="D97" s="306" t="s">
        <v>58</v>
      </c>
      <c r="E97" s="307"/>
      <c r="F97" s="312"/>
      <c r="G97" s="315" t="s">
        <v>16</v>
      </c>
      <c r="H97" s="316"/>
      <c r="I97" s="35">
        <v>3000000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s="2" customFormat="1" ht="15" customHeight="1" x14ac:dyDescent="0.35">
      <c r="A98" s="302"/>
      <c r="B98" s="303"/>
      <c r="C98" s="303"/>
      <c r="D98" s="308"/>
      <c r="E98" s="309"/>
      <c r="F98" s="313"/>
      <c r="G98" s="317" t="s">
        <v>17</v>
      </c>
      <c r="H98" s="318"/>
      <c r="I98" s="36">
        <f>+I97-I96</f>
        <v>603521.12999999989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s="1" customFormat="1" ht="15.75" customHeight="1" thickBot="1" x14ac:dyDescent="0.4">
      <c r="A99" s="304"/>
      <c r="B99" s="305"/>
      <c r="C99" s="305"/>
      <c r="D99" s="310"/>
      <c r="E99" s="311"/>
      <c r="F99" s="314"/>
      <c r="G99" s="289" t="s">
        <v>5</v>
      </c>
      <c r="H99" s="290"/>
      <c r="I99" s="37">
        <f>+I97-I98</f>
        <v>2396478.87</v>
      </c>
    </row>
    <row r="100" spans="1:37" s="1" customFormat="1" ht="15" thickBot="1" x14ac:dyDescent="0.4">
      <c r="A100" s="291" t="s">
        <v>25</v>
      </c>
      <c r="B100" s="292"/>
      <c r="C100" s="292"/>
      <c r="D100" s="293"/>
      <c r="E100" s="38"/>
      <c r="F100" s="38"/>
      <c r="G100" s="38"/>
      <c r="H100" s="38"/>
      <c r="I100" s="39"/>
    </row>
    <row r="101" spans="1:37" s="1" customFormat="1" ht="15" thickBot="1" x14ac:dyDescent="0.4">
      <c r="A101" s="40"/>
      <c r="B101" s="41" t="s">
        <v>6</v>
      </c>
      <c r="C101" s="42">
        <f>D118</f>
        <v>1600</v>
      </c>
      <c r="D101" s="39"/>
      <c r="E101" s="43">
        <f>C101+C105+I96</f>
        <v>3000678.87</v>
      </c>
      <c r="F101" s="43"/>
      <c r="G101" s="38"/>
      <c r="H101" s="38"/>
      <c r="I101" s="44"/>
    </row>
    <row r="102" spans="1:37" s="1" customFormat="1" ht="15" thickBot="1" x14ac:dyDescent="0.4">
      <c r="A102" s="40"/>
      <c r="B102" s="41" t="s">
        <v>118</v>
      </c>
      <c r="C102" s="45">
        <v>32600</v>
      </c>
      <c r="D102" s="39"/>
      <c r="E102" s="43">
        <f>+E101-I97</f>
        <v>678.87000000011176</v>
      </c>
      <c r="F102" s="38"/>
      <c r="G102" s="38"/>
      <c r="H102" s="38"/>
      <c r="I102" s="39"/>
    </row>
    <row r="103" spans="1:37" s="1" customFormat="1" ht="15" thickBot="1" x14ac:dyDescent="0.4">
      <c r="A103" s="40"/>
      <c r="B103" s="46" t="s">
        <v>119</v>
      </c>
      <c r="C103" s="45">
        <v>42000</v>
      </c>
      <c r="D103" s="39"/>
      <c r="E103" s="43"/>
      <c r="F103" s="38"/>
      <c r="G103" s="38"/>
      <c r="H103" s="38"/>
      <c r="I103" s="39"/>
    </row>
    <row r="104" spans="1:37" s="1" customFormat="1" ht="15" thickBot="1" x14ac:dyDescent="0.4">
      <c r="A104" s="40"/>
      <c r="B104" s="46" t="s">
        <v>161</v>
      </c>
      <c r="C104" s="45">
        <v>528000</v>
      </c>
      <c r="D104" s="39"/>
      <c r="E104" s="43"/>
      <c r="F104" s="38"/>
      <c r="G104" s="38"/>
      <c r="H104" s="38"/>
      <c r="I104" s="39"/>
    </row>
    <row r="105" spans="1:37" s="1" customFormat="1" ht="15" thickBot="1" x14ac:dyDescent="0.4">
      <c r="A105" s="40"/>
      <c r="B105" s="47" t="s">
        <v>7</v>
      </c>
      <c r="C105" s="45">
        <f>SUM(C102:C104)</f>
        <v>602600</v>
      </c>
      <c r="D105" s="39"/>
      <c r="E105" s="48"/>
      <c r="F105" s="48"/>
      <c r="G105" s="48"/>
      <c r="H105" s="48"/>
      <c r="I105" s="49"/>
    </row>
    <row r="106" spans="1:37" s="1" customFormat="1" ht="15" thickBot="1" x14ac:dyDescent="0.4">
      <c r="A106" s="40"/>
      <c r="B106" s="50"/>
      <c r="C106" s="51"/>
      <c r="D106" s="39"/>
      <c r="E106" s="48"/>
      <c r="F106" s="48"/>
      <c r="G106" s="48"/>
      <c r="H106" s="48"/>
      <c r="I106" s="49"/>
    </row>
    <row r="107" spans="1:37" s="1" customFormat="1" ht="15" thickBot="1" x14ac:dyDescent="0.4">
      <c r="A107" s="40"/>
      <c r="B107" s="52"/>
      <c r="C107" s="53" t="s">
        <v>11</v>
      </c>
      <c r="D107" s="54" t="s">
        <v>4</v>
      </c>
      <c r="E107" s="38"/>
      <c r="F107" s="55"/>
      <c r="G107" s="38"/>
      <c r="H107" s="38"/>
      <c r="I107" s="39"/>
    </row>
    <row r="108" spans="1:37" s="1" customFormat="1" ht="14.5" x14ac:dyDescent="0.35">
      <c r="A108" s="40"/>
      <c r="B108" s="56"/>
      <c r="C108" s="57">
        <v>50000</v>
      </c>
      <c r="D108" s="58">
        <f t="shared" ref="D108:D117" si="2">+C108*B108</f>
        <v>0</v>
      </c>
      <c r="E108" s="143" t="s">
        <v>29</v>
      </c>
      <c r="F108" s="60" t="s">
        <v>27</v>
      </c>
      <c r="G108" s="294" t="s">
        <v>28</v>
      </c>
      <c r="H108" s="294"/>
      <c r="I108" s="295"/>
    </row>
    <row r="109" spans="1:37" s="5" customFormat="1" ht="15" customHeight="1" x14ac:dyDescent="0.35">
      <c r="A109" s="40"/>
      <c r="B109" s="62"/>
      <c r="C109" s="63">
        <v>20000</v>
      </c>
      <c r="D109" s="58">
        <f t="shared" si="2"/>
        <v>0</v>
      </c>
      <c r="E109" s="141" t="s">
        <v>19</v>
      </c>
      <c r="F109" s="141" t="s">
        <v>20</v>
      </c>
      <c r="G109" s="296" t="s">
        <v>21</v>
      </c>
      <c r="H109" s="296"/>
      <c r="I109" s="29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s="5" customFormat="1" ht="15" customHeight="1" x14ac:dyDescent="0.35">
      <c r="A110" s="40"/>
      <c r="B110" s="62"/>
      <c r="C110" s="63">
        <v>10000</v>
      </c>
      <c r="D110" s="58">
        <f t="shared" si="2"/>
        <v>0</v>
      </c>
      <c r="E110" s="142" t="s">
        <v>79</v>
      </c>
      <c r="F110" s="142" t="s">
        <v>80</v>
      </c>
      <c r="G110" s="298" t="s">
        <v>81</v>
      </c>
      <c r="H110" s="298"/>
      <c r="I110" s="29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s="5" customFormat="1" ht="15" customHeight="1" x14ac:dyDescent="0.35">
      <c r="A111" s="40"/>
      <c r="B111" s="62"/>
      <c r="C111" s="63">
        <v>5000</v>
      </c>
      <c r="D111" s="58">
        <f t="shared" si="2"/>
        <v>0</v>
      </c>
      <c r="E111" s="38" t="s">
        <v>0</v>
      </c>
      <c r="F111" s="38"/>
      <c r="G111" s="38"/>
      <c r="H111" s="38"/>
      <c r="I111" s="3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s="5" customFormat="1" ht="15" customHeight="1" x14ac:dyDescent="0.35">
      <c r="A112" s="40"/>
      <c r="B112" s="62"/>
      <c r="C112" s="63">
        <v>2000</v>
      </c>
      <c r="D112" s="58">
        <f t="shared" si="2"/>
        <v>0</v>
      </c>
      <c r="E112" s="38"/>
      <c r="F112" s="38" t="s">
        <v>8</v>
      </c>
      <c r="G112" s="38"/>
      <c r="H112" s="38"/>
      <c r="I112" s="3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s="5" customFormat="1" ht="15" customHeight="1" x14ac:dyDescent="0.35">
      <c r="A113" s="40"/>
      <c r="B113" s="62"/>
      <c r="C113" s="63">
        <v>1000</v>
      </c>
      <c r="D113" s="58">
        <f t="shared" si="2"/>
        <v>0</v>
      </c>
      <c r="E113" s="38"/>
      <c r="F113" s="38"/>
      <c r="G113" s="38"/>
      <c r="H113" s="38"/>
      <c r="I113" s="3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s="1" customFormat="1" ht="15" customHeight="1" x14ac:dyDescent="0.35">
      <c r="A114" s="40"/>
      <c r="B114" s="62">
        <v>1</v>
      </c>
      <c r="C114" s="63">
        <v>500</v>
      </c>
      <c r="D114" s="58">
        <f t="shared" si="2"/>
        <v>500</v>
      </c>
      <c r="E114" s="38"/>
      <c r="F114" s="38"/>
      <c r="G114" s="38"/>
      <c r="H114" s="38"/>
      <c r="I114" s="39"/>
    </row>
    <row r="115" spans="1:37" s="1" customFormat="1" ht="15" customHeight="1" x14ac:dyDescent="0.35">
      <c r="A115" s="40"/>
      <c r="B115" s="62">
        <v>3</v>
      </c>
      <c r="C115" s="63">
        <v>200</v>
      </c>
      <c r="D115" s="58">
        <f t="shared" si="2"/>
        <v>600</v>
      </c>
      <c r="E115" s="38"/>
      <c r="F115" s="38"/>
      <c r="G115" s="38"/>
      <c r="H115" s="38"/>
      <c r="I115" s="39"/>
    </row>
    <row r="116" spans="1:37" s="1" customFormat="1" ht="15" customHeight="1" x14ac:dyDescent="0.35">
      <c r="A116" s="40"/>
      <c r="B116" s="62">
        <v>3</v>
      </c>
      <c r="C116" s="63">
        <v>100</v>
      </c>
      <c r="D116" s="58">
        <f>+C116*B116</f>
        <v>300</v>
      </c>
      <c r="E116" s="38"/>
      <c r="F116" s="38"/>
      <c r="G116" s="38"/>
      <c r="H116" s="38"/>
      <c r="I116" s="39"/>
    </row>
    <row r="117" spans="1:37" s="5" customFormat="1" ht="15" customHeight="1" thickBot="1" x14ac:dyDescent="0.4">
      <c r="A117" s="40"/>
      <c r="B117" s="68">
        <v>4</v>
      </c>
      <c r="C117" s="69">
        <v>50</v>
      </c>
      <c r="D117" s="58">
        <f t="shared" si="2"/>
        <v>200</v>
      </c>
      <c r="E117" s="38"/>
      <c r="F117" s="38"/>
      <c r="G117" s="38"/>
      <c r="H117" s="38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s="1" customFormat="1" ht="15" customHeight="1" thickBot="1" x14ac:dyDescent="0.4">
      <c r="A118" s="40"/>
      <c r="B118" s="143"/>
      <c r="C118" s="70"/>
      <c r="D118" s="71">
        <f>SUM(D108:D117)</f>
        <v>1600</v>
      </c>
      <c r="E118" s="38"/>
      <c r="F118" s="38"/>
      <c r="G118" s="38"/>
      <c r="H118" s="38"/>
      <c r="I118" s="39"/>
    </row>
    <row r="119" spans="1:37" s="5" customFormat="1" ht="15" customHeight="1" thickBot="1" x14ac:dyDescent="0.4">
      <c r="A119" s="72"/>
      <c r="B119" s="73"/>
      <c r="C119" s="74"/>
      <c r="D119" s="75"/>
      <c r="E119" s="76"/>
      <c r="F119" s="76"/>
      <c r="G119" s="76"/>
      <c r="H119" s="76"/>
      <c r="I119" s="7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s="5" customFormat="1" ht="22.5" customHeight="1" x14ac:dyDescent="0.35">
      <c r="A120" s="1"/>
      <c r="B120"/>
      <c r="C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s="3" customFormat="1" ht="22.5" customHeight="1" x14ac:dyDescent="0.35">
      <c r="A121"/>
      <c r="B121"/>
      <c r="C121" s="6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 s="3" customFormat="1" ht="22.5" customHeight="1" x14ac:dyDescent="0.35">
      <c r="A122"/>
      <c r="B122"/>
      <c r="C122" s="6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 s="3" customFormat="1" ht="22.5" customHeight="1" x14ac:dyDescent="0.35">
      <c r="A123"/>
      <c r="B123"/>
      <c r="C123" s="6"/>
      <c r="D123" s="7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</sheetData>
  <mergeCells count="23">
    <mergeCell ref="G110:I110"/>
    <mergeCell ref="B10:B72"/>
    <mergeCell ref="B73:B79"/>
    <mergeCell ref="B81:B95"/>
    <mergeCell ref="G97:H97"/>
    <mergeCell ref="G98:H98"/>
    <mergeCell ref="G99:H99"/>
    <mergeCell ref="A100:D100"/>
    <mergeCell ref="G108:I108"/>
    <mergeCell ref="G109:I109"/>
    <mergeCell ref="A96:E96"/>
    <mergeCell ref="A97:C99"/>
    <mergeCell ref="D97:E99"/>
    <mergeCell ref="F97:F99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0.70866141732283472" right="0.32" top="0.44" bottom="0.57999999999999996" header="0.31496062992125984" footer="0.31496062992125984"/>
  <pageSetup scale="5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52"/>
  <sheetViews>
    <sheetView showGridLines="0" workbookViewId="0">
      <selection activeCell="I47" sqref="A1:I47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10.453125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43433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44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44" t="str">
        <f>IF(K14=1,"IVA","TRM")</f>
        <v>IVA</v>
      </c>
      <c r="I9" s="14" t="s">
        <v>4</v>
      </c>
    </row>
    <row r="10" spans="1:12" s="1" customFormat="1" ht="14.5" x14ac:dyDescent="0.35">
      <c r="A10" s="82">
        <v>1</v>
      </c>
      <c r="B10" s="340" t="s">
        <v>32</v>
      </c>
      <c r="C10" s="107">
        <v>43427</v>
      </c>
      <c r="D10" s="17">
        <v>830054076</v>
      </c>
      <c r="E10" s="18" t="str">
        <f>VLOOKUP(D10,[1]TERCEROS!$A$2:$C$4000,3,FALSE)</f>
        <v>FIDEICOMISOS SOCIEDAD FIDUCIARIA</v>
      </c>
      <c r="F10" s="28" t="s">
        <v>33</v>
      </c>
      <c r="G10" s="20">
        <v>9700</v>
      </c>
      <c r="H10" s="21"/>
      <c r="I10" s="22">
        <f>IF($K$14=1,G10+H10,G10*H10)</f>
        <v>9700</v>
      </c>
    </row>
    <row r="11" spans="1:12" s="1" customFormat="1" ht="15" thickBot="1" x14ac:dyDescent="0.4">
      <c r="A11" s="83">
        <v>2</v>
      </c>
      <c r="B11" s="341"/>
      <c r="C11" s="108">
        <v>43431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30"/>
      <c r="I11" s="31">
        <f>IF($K$14=1,G11+H11,G11*H11)</f>
        <v>9700</v>
      </c>
    </row>
    <row r="12" spans="1:12" s="1" customFormat="1" ht="15" thickBot="1" x14ac:dyDescent="0.4">
      <c r="A12" s="82">
        <v>3</v>
      </c>
      <c r="B12" s="341"/>
      <c r="C12" s="108">
        <v>43432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30"/>
      <c r="I12" s="31">
        <f t="shared" ref="I12:I24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43431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30"/>
      <c r="I13" s="31">
        <f t="shared" si="0"/>
        <v>9700</v>
      </c>
    </row>
    <row r="14" spans="1:12" s="1" customFormat="1" ht="14.5" x14ac:dyDescent="0.35">
      <c r="A14" s="82">
        <v>5</v>
      </c>
      <c r="B14" s="341"/>
      <c r="C14" s="108">
        <v>43430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30"/>
      <c r="I14" s="31">
        <f t="shared" si="0"/>
        <v>9700</v>
      </c>
      <c r="K14" s="1">
        <v>1</v>
      </c>
    </row>
    <row r="15" spans="1:12" s="1" customFormat="1" ht="15" thickBot="1" x14ac:dyDescent="0.4">
      <c r="A15" s="83">
        <v>6</v>
      </c>
      <c r="B15" s="341"/>
      <c r="C15" s="108">
        <v>43430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30"/>
      <c r="I15" s="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43427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30"/>
      <c r="I16" s="31">
        <f t="shared" si="0"/>
        <v>9700</v>
      </c>
    </row>
    <row r="17" spans="1:37" s="1" customFormat="1" ht="15" thickBot="1" x14ac:dyDescent="0.4">
      <c r="A17" s="82">
        <v>8</v>
      </c>
      <c r="B17" s="341"/>
      <c r="C17" s="108">
        <v>43426</v>
      </c>
      <c r="D17" s="26">
        <v>830054076</v>
      </c>
      <c r="E17" s="27" t="str">
        <f>VLOOKUP(D17,[1]TERCEROS!$A$2:$C$4000,3,FALSE)</f>
        <v>FIDEICOMISOS SOCIEDAD FIDUCIARIA</v>
      </c>
      <c r="F17" s="28" t="s">
        <v>33</v>
      </c>
      <c r="G17" s="29">
        <v>9700</v>
      </c>
      <c r="H17" s="30"/>
      <c r="I17" s="31">
        <f t="shared" si="0"/>
        <v>9700</v>
      </c>
    </row>
    <row r="18" spans="1:37" s="1" customFormat="1" ht="14.5" x14ac:dyDescent="0.35">
      <c r="A18" s="82">
        <v>9</v>
      </c>
      <c r="B18" s="341"/>
      <c r="C18" s="108">
        <v>43426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30"/>
      <c r="I18" s="31">
        <f t="shared" si="0"/>
        <v>9700</v>
      </c>
    </row>
    <row r="19" spans="1:37" s="1" customFormat="1" ht="15" thickBot="1" x14ac:dyDescent="0.4">
      <c r="A19" s="83">
        <v>10</v>
      </c>
      <c r="B19" s="341"/>
      <c r="C19" s="108">
        <v>43425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30"/>
      <c r="I19" s="31">
        <f t="shared" si="0"/>
        <v>9700</v>
      </c>
    </row>
    <row r="20" spans="1:37" s="1" customFormat="1" ht="15" thickBot="1" x14ac:dyDescent="0.4">
      <c r="A20" s="82">
        <v>11</v>
      </c>
      <c r="B20" s="341"/>
      <c r="C20" s="108">
        <v>43424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30"/>
      <c r="I20" s="31">
        <f t="shared" si="0"/>
        <v>9700</v>
      </c>
    </row>
    <row r="21" spans="1:37" s="1" customFormat="1" ht="15" thickBot="1" x14ac:dyDescent="0.4">
      <c r="A21" s="82">
        <v>12</v>
      </c>
      <c r="B21" s="341"/>
      <c r="C21" s="108">
        <v>43427</v>
      </c>
      <c r="D21" s="26">
        <v>800215920</v>
      </c>
      <c r="E21" s="27" t="s">
        <v>519</v>
      </c>
      <c r="F21" s="28" t="s">
        <v>34</v>
      </c>
      <c r="G21" s="29">
        <v>65998</v>
      </c>
      <c r="H21" s="30"/>
      <c r="I21" s="31">
        <f t="shared" si="0"/>
        <v>65998</v>
      </c>
    </row>
    <row r="22" spans="1:37" s="1" customFormat="1" ht="14.5" x14ac:dyDescent="0.35">
      <c r="A22" s="82">
        <v>13</v>
      </c>
      <c r="B22" s="341"/>
      <c r="C22" s="108">
        <v>43429</v>
      </c>
      <c r="D22" s="26">
        <v>900491889</v>
      </c>
      <c r="E22" s="27" t="str">
        <f>VLOOKUP(D22,[1]TERCEROS!$A$2:$C$4000,3,FALSE)</f>
        <v>EDS TERMINAL NEIVA</v>
      </c>
      <c r="F22" s="28" t="s">
        <v>272</v>
      </c>
      <c r="G22" s="29">
        <v>16300</v>
      </c>
      <c r="H22" s="30"/>
      <c r="I22" s="31">
        <f t="shared" si="0"/>
        <v>16300</v>
      </c>
    </row>
    <row r="23" spans="1:37" s="1" customFormat="1" ht="15" thickBot="1" x14ac:dyDescent="0.4">
      <c r="A23" s="83">
        <v>14</v>
      </c>
      <c r="B23" s="341"/>
      <c r="C23" s="108">
        <v>43427</v>
      </c>
      <c r="D23" s="26">
        <v>900361916</v>
      </c>
      <c r="E23" s="27" t="s">
        <v>520</v>
      </c>
      <c r="F23" s="28" t="s">
        <v>272</v>
      </c>
      <c r="G23" s="29">
        <v>122100</v>
      </c>
      <c r="H23" s="30"/>
      <c r="I23" s="31">
        <f t="shared" si="0"/>
        <v>122100</v>
      </c>
    </row>
    <row r="24" spans="1:37" s="1" customFormat="1" ht="15" thickBot="1" x14ac:dyDescent="0.4">
      <c r="A24" s="82">
        <v>15</v>
      </c>
      <c r="B24" s="346"/>
      <c r="C24" s="108">
        <v>43427</v>
      </c>
      <c r="D24" s="26">
        <v>900380028</v>
      </c>
      <c r="E24" s="27" t="str">
        <f>VLOOKUP(D24,[1]TERCEROS!$A$2:$C$4000,3,FALSE)</f>
        <v>INMOBILIARIA CENTRO SAN MARTIN</v>
      </c>
      <c r="F24" s="28" t="s">
        <v>35</v>
      </c>
      <c r="G24" s="29">
        <v>17324</v>
      </c>
      <c r="H24" s="30">
        <f>+G24*19%</f>
        <v>3291.56</v>
      </c>
      <c r="I24" s="31">
        <f t="shared" si="0"/>
        <v>20615.560000000001</v>
      </c>
    </row>
    <row r="25" spans="1:37" s="2" customFormat="1" ht="15.75" customHeight="1" thickBot="1" x14ac:dyDescent="0.4">
      <c r="A25" s="342"/>
      <c r="B25" s="329"/>
      <c r="C25" s="329"/>
      <c r="D25" s="329"/>
      <c r="E25" s="330"/>
      <c r="F25" s="93" t="s">
        <v>24</v>
      </c>
      <c r="G25" s="94">
        <f>SUM(G10:G24)</f>
        <v>328422</v>
      </c>
      <c r="H25" s="94"/>
      <c r="I25" s="94">
        <f>SUM(I10:I24)</f>
        <v>331713.56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s="2" customFormat="1" ht="15" customHeight="1" x14ac:dyDescent="0.35">
      <c r="A26" s="300" t="s">
        <v>26</v>
      </c>
      <c r="B26" s="301"/>
      <c r="C26" s="301"/>
      <c r="D26" s="306" t="s">
        <v>521</v>
      </c>
      <c r="E26" s="307"/>
      <c r="F26" s="312"/>
      <c r="G26" s="315" t="s">
        <v>16</v>
      </c>
      <c r="H26" s="316"/>
      <c r="I26" s="35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s="2" customFormat="1" ht="15" customHeight="1" x14ac:dyDescent="0.35">
      <c r="A27" s="302"/>
      <c r="B27" s="303"/>
      <c r="C27" s="303"/>
      <c r="D27" s="308"/>
      <c r="E27" s="309"/>
      <c r="F27" s="313"/>
      <c r="G27" s="317" t="s">
        <v>17</v>
      </c>
      <c r="H27" s="318"/>
      <c r="I27" s="36">
        <f>+I26-I25</f>
        <v>-331713.56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s="1" customFormat="1" ht="15.75" customHeight="1" thickBot="1" x14ac:dyDescent="0.4">
      <c r="A28" s="304"/>
      <c r="B28" s="305"/>
      <c r="C28" s="305"/>
      <c r="D28" s="310"/>
      <c r="E28" s="311"/>
      <c r="F28" s="314"/>
      <c r="G28" s="289" t="s">
        <v>5</v>
      </c>
      <c r="H28" s="290"/>
      <c r="I28" s="37">
        <f>+I26-I27</f>
        <v>331713.56</v>
      </c>
    </row>
    <row r="29" spans="1:37" s="1" customFormat="1" ht="15" thickBot="1" x14ac:dyDescent="0.4">
      <c r="A29" s="291" t="s">
        <v>25</v>
      </c>
      <c r="B29" s="292"/>
      <c r="C29" s="292"/>
      <c r="D29" s="293"/>
      <c r="E29" s="38"/>
      <c r="F29" s="38"/>
      <c r="G29" s="38"/>
      <c r="H29" s="38"/>
      <c r="I29" s="39"/>
    </row>
    <row r="30" spans="1:37" s="1" customFormat="1" ht="15" thickBot="1" x14ac:dyDescent="0.4">
      <c r="A30" s="40"/>
      <c r="B30" s="41" t="s">
        <v>6</v>
      </c>
      <c r="C30" s="42">
        <f>D47</f>
        <v>0</v>
      </c>
      <c r="D30" s="39"/>
      <c r="E30" s="43">
        <f>C30+C34+I25</f>
        <v>331713.56</v>
      </c>
      <c r="F30" s="43"/>
      <c r="G30" s="38"/>
      <c r="H30" s="38"/>
      <c r="I30" s="44"/>
    </row>
    <row r="31" spans="1:37" s="1" customFormat="1" ht="15" thickBot="1" x14ac:dyDescent="0.4">
      <c r="A31" s="40"/>
      <c r="B31" s="41"/>
      <c r="C31" s="42"/>
      <c r="D31" s="39"/>
      <c r="E31" s="43"/>
      <c r="F31" s="43"/>
      <c r="G31" s="38"/>
      <c r="H31" s="38"/>
      <c r="I31" s="44"/>
    </row>
    <row r="32" spans="1:37" s="1" customFormat="1" ht="15" thickBot="1" x14ac:dyDescent="0.4">
      <c r="A32" s="40"/>
      <c r="B32" s="41"/>
      <c r="C32" s="45"/>
      <c r="D32" s="39"/>
      <c r="E32" s="43">
        <f>+E30-I26</f>
        <v>331713.56</v>
      </c>
      <c r="F32" s="38"/>
      <c r="G32" s="38"/>
      <c r="H32" s="38"/>
      <c r="I32" s="39"/>
    </row>
    <row r="33" spans="1:37" s="1" customFormat="1" ht="15" thickBot="1" x14ac:dyDescent="0.4">
      <c r="A33" s="40"/>
      <c r="B33" s="46"/>
      <c r="C33" s="45"/>
      <c r="D33" s="39"/>
      <c r="E33" s="43"/>
      <c r="F33" s="38"/>
      <c r="G33" s="38"/>
      <c r="H33" s="38"/>
      <c r="I33" s="39"/>
    </row>
    <row r="34" spans="1:37" s="1" customFormat="1" ht="15" thickBot="1" x14ac:dyDescent="0.4">
      <c r="A34" s="40"/>
      <c r="B34" s="47" t="s">
        <v>7</v>
      </c>
      <c r="C34" s="45">
        <f>SUM(C31:C33)</f>
        <v>0</v>
      </c>
      <c r="D34" s="39"/>
      <c r="E34" s="48"/>
      <c r="F34" s="48"/>
      <c r="G34" s="48"/>
      <c r="H34" s="48"/>
      <c r="I34" s="49"/>
    </row>
    <row r="35" spans="1:37" s="1" customFormat="1" ht="15" thickBot="1" x14ac:dyDescent="0.4">
      <c r="A35" s="40"/>
      <c r="B35" s="50"/>
      <c r="C35" s="51"/>
      <c r="D35" s="39"/>
      <c r="E35" s="48"/>
      <c r="F35" s="48"/>
      <c r="G35" s="48"/>
      <c r="H35" s="48"/>
      <c r="I35" s="49"/>
    </row>
    <row r="36" spans="1:37" s="1" customFormat="1" ht="15" thickBot="1" x14ac:dyDescent="0.4">
      <c r="A36" s="40"/>
      <c r="B36" s="52"/>
      <c r="C36" s="53" t="s">
        <v>11</v>
      </c>
      <c r="D36" s="54" t="s">
        <v>4</v>
      </c>
      <c r="E36" s="38"/>
      <c r="F36" s="55"/>
      <c r="G36" s="38"/>
      <c r="H36" s="38"/>
      <c r="I36" s="39"/>
    </row>
    <row r="37" spans="1:37" s="1" customFormat="1" ht="14.5" x14ac:dyDescent="0.35">
      <c r="A37" s="40"/>
      <c r="B37" s="56"/>
      <c r="C37" s="57">
        <v>50000</v>
      </c>
      <c r="D37" s="58">
        <f t="shared" ref="D37:D46" si="1">+C37*B37</f>
        <v>0</v>
      </c>
      <c r="E37" s="143" t="s">
        <v>29</v>
      </c>
      <c r="F37" s="60" t="s">
        <v>27</v>
      </c>
      <c r="G37" s="294" t="s">
        <v>28</v>
      </c>
      <c r="H37" s="294"/>
      <c r="I37" s="295"/>
    </row>
    <row r="38" spans="1:37" s="5" customFormat="1" ht="15" customHeight="1" x14ac:dyDescent="0.35">
      <c r="A38" s="40"/>
      <c r="B38" s="62"/>
      <c r="C38" s="63">
        <v>20000</v>
      </c>
      <c r="D38" s="58">
        <f t="shared" si="1"/>
        <v>0</v>
      </c>
      <c r="E38" s="141" t="s">
        <v>19</v>
      </c>
      <c r="F38" s="141" t="s">
        <v>20</v>
      </c>
      <c r="G38" s="296" t="s">
        <v>21</v>
      </c>
      <c r="H38" s="296"/>
      <c r="I38" s="29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s="5" customFormat="1" ht="15" customHeight="1" x14ac:dyDescent="0.35">
      <c r="A39" s="40"/>
      <c r="B39" s="62"/>
      <c r="C39" s="63">
        <v>10000</v>
      </c>
      <c r="D39" s="58">
        <f t="shared" si="1"/>
        <v>0</v>
      </c>
      <c r="E39" s="142" t="s">
        <v>86</v>
      </c>
      <c r="F39" s="142" t="s">
        <v>87</v>
      </c>
      <c r="G39" s="298" t="s">
        <v>88</v>
      </c>
      <c r="H39" s="298"/>
      <c r="I39" s="29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s="5" customFormat="1" ht="15" customHeight="1" x14ac:dyDescent="0.35">
      <c r="A40" s="40"/>
      <c r="B40" s="62"/>
      <c r="C40" s="63">
        <v>5000</v>
      </c>
      <c r="D40" s="58">
        <f t="shared" si="1"/>
        <v>0</v>
      </c>
      <c r="E40" s="38" t="s">
        <v>0</v>
      </c>
      <c r="F40" s="38"/>
      <c r="G40" s="38"/>
      <c r="H40" s="38"/>
      <c r="I40" s="3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s="5" customFormat="1" ht="15" customHeight="1" x14ac:dyDescent="0.35">
      <c r="A41" s="40"/>
      <c r="B41" s="62"/>
      <c r="C41" s="63">
        <v>2000</v>
      </c>
      <c r="D41" s="58">
        <f t="shared" si="1"/>
        <v>0</v>
      </c>
      <c r="E41" s="38"/>
      <c r="F41" s="38" t="s">
        <v>8</v>
      </c>
      <c r="G41" s="38"/>
      <c r="H41" s="38"/>
      <c r="I41" s="3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s="5" customFormat="1" ht="15" customHeight="1" x14ac:dyDescent="0.35">
      <c r="A42" s="40"/>
      <c r="B42" s="62"/>
      <c r="C42" s="63">
        <v>1000</v>
      </c>
      <c r="D42" s="58">
        <f t="shared" si="1"/>
        <v>0</v>
      </c>
      <c r="E42" s="38"/>
      <c r="F42" s="38"/>
      <c r="G42" s="38"/>
      <c r="H42" s="38"/>
      <c r="I42" s="3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s="1" customFormat="1" ht="15" customHeight="1" x14ac:dyDescent="0.35">
      <c r="A43" s="40"/>
      <c r="B43" s="62"/>
      <c r="C43" s="63">
        <v>500</v>
      </c>
      <c r="D43" s="58">
        <f t="shared" si="1"/>
        <v>0</v>
      </c>
      <c r="E43" s="38"/>
      <c r="F43" s="38"/>
      <c r="G43" s="38"/>
      <c r="H43" s="38"/>
      <c r="I43" s="39"/>
    </row>
    <row r="44" spans="1:37" s="1" customFormat="1" ht="15" customHeight="1" x14ac:dyDescent="0.35">
      <c r="A44" s="40"/>
      <c r="B44" s="62"/>
      <c r="C44" s="63">
        <v>200</v>
      </c>
      <c r="D44" s="58">
        <f t="shared" si="1"/>
        <v>0</v>
      </c>
      <c r="E44" s="38"/>
      <c r="F44" s="38"/>
      <c r="G44" s="38"/>
      <c r="H44" s="38"/>
      <c r="I44" s="39"/>
    </row>
    <row r="45" spans="1:37" s="1" customFormat="1" ht="15" customHeight="1" x14ac:dyDescent="0.35">
      <c r="A45" s="40"/>
      <c r="B45" s="62"/>
      <c r="C45" s="63">
        <v>100</v>
      </c>
      <c r="D45" s="58">
        <f>+C45*B45</f>
        <v>0</v>
      </c>
      <c r="E45" s="38"/>
      <c r="F45" s="38"/>
      <c r="G45" s="38"/>
      <c r="H45" s="38"/>
      <c r="I45" s="39"/>
    </row>
    <row r="46" spans="1:37" s="5" customFormat="1" ht="15" customHeight="1" thickBot="1" x14ac:dyDescent="0.4">
      <c r="A46" s="40"/>
      <c r="B46" s="68"/>
      <c r="C46" s="69">
        <v>50</v>
      </c>
      <c r="D46" s="58">
        <f t="shared" si="1"/>
        <v>0</v>
      </c>
      <c r="E46" s="38"/>
      <c r="F46" s="38"/>
      <c r="G46" s="38"/>
      <c r="H46" s="38"/>
      <c r="I46" s="3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s="1" customFormat="1" ht="15" customHeight="1" thickBot="1" x14ac:dyDescent="0.4">
      <c r="A47" s="40"/>
      <c r="B47" s="143"/>
      <c r="C47" s="70"/>
      <c r="D47" s="71">
        <f>SUM(D37:D46)</f>
        <v>0</v>
      </c>
      <c r="E47" s="38"/>
      <c r="F47" s="38"/>
      <c r="G47" s="38"/>
      <c r="H47" s="38"/>
      <c r="I47" s="39"/>
    </row>
    <row r="48" spans="1:37" s="5" customFormat="1" ht="15" customHeight="1" thickBot="1" x14ac:dyDescent="0.4">
      <c r="A48" s="72"/>
      <c r="B48" s="73"/>
      <c r="C48" s="74"/>
      <c r="D48" s="75"/>
      <c r="E48" s="76"/>
      <c r="F48" s="76"/>
      <c r="G48" s="76"/>
      <c r="H48" s="76"/>
      <c r="I48" s="7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s="5" customFormat="1" ht="22.5" customHeight="1" x14ac:dyDescent="0.35">
      <c r="A49" s="1"/>
      <c r="B49"/>
      <c r="C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s="3" customFormat="1" ht="22.5" customHeight="1" x14ac:dyDescent="0.35">
      <c r="A50"/>
      <c r="B50"/>
      <c r="C50" s="6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s="3" customFormat="1" ht="22.5" customHeight="1" x14ac:dyDescent="0.35">
      <c r="A51"/>
      <c r="B51"/>
      <c r="C51" s="6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3" customFormat="1" ht="22.5" customHeight="1" x14ac:dyDescent="0.35">
      <c r="A52"/>
      <c r="B52"/>
      <c r="C52" s="6"/>
      <c r="D52" s="7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</sheetData>
  <mergeCells count="21">
    <mergeCell ref="A29:D29"/>
    <mergeCell ref="G37:I37"/>
    <mergeCell ref="G38:I38"/>
    <mergeCell ref="G39:I39"/>
    <mergeCell ref="B10:B24"/>
    <mergeCell ref="A26:C28"/>
    <mergeCell ref="D26:E28"/>
    <mergeCell ref="F26:F28"/>
    <mergeCell ref="G26:H26"/>
    <mergeCell ref="G27:H27"/>
    <mergeCell ref="G28:H28"/>
    <mergeCell ref="A7:B7"/>
    <mergeCell ref="C7:I7"/>
    <mergeCell ref="A8:I8"/>
    <mergeCell ref="A25:E25"/>
    <mergeCell ref="A1:B6"/>
    <mergeCell ref="C1:F3"/>
    <mergeCell ref="G1:I2"/>
    <mergeCell ref="G3:I4"/>
    <mergeCell ref="C4:F6"/>
    <mergeCell ref="G5:I6"/>
  </mergeCells>
  <pageMargins left="0.70866141732283472" right="0.32" top="0.44" bottom="0.57999999999999996" header="0.31496062992125984" footer="0.31496062992125984"/>
  <pageSetup scale="5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14"/>
  <sheetViews>
    <sheetView showGridLines="0" topLeftCell="A61" workbookViewId="0">
      <selection activeCell="E96" sqref="E96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43360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49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49" t="str">
        <f>IF(K14=1,"IVA","TRM")</f>
        <v>IVA</v>
      </c>
      <c r="I9" s="14" t="s">
        <v>4</v>
      </c>
    </row>
    <row r="10" spans="1:12" s="1" customFormat="1" ht="15" thickBot="1" x14ac:dyDescent="0.4">
      <c r="A10" s="15">
        <v>1</v>
      </c>
      <c r="B10" s="336" t="s">
        <v>32</v>
      </c>
      <c r="C10" s="16">
        <v>43357</v>
      </c>
      <c r="D10" s="17">
        <v>860035992</v>
      </c>
      <c r="E10" s="18" t="s">
        <v>170</v>
      </c>
      <c r="F10" s="19" t="s">
        <v>35</v>
      </c>
      <c r="G10" s="20">
        <v>714</v>
      </c>
      <c r="H10" s="21">
        <f>G10*19%</f>
        <v>135.66</v>
      </c>
      <c r="I10" s="22">
        <f>IF($K$14=1,G10+H10,G10*H10)</f>
        <v>849.66</v>
      </c>
    </row>
    <row r="11" spans="1:12" s="1" customFormat="1" ht="15" thickBot="1" x14ac:dyDescent="0.4">
      <c r="A11" s="23">
        <v>2</v>
      </c>
      <c r="B11" s="337"/>
      <c r="C11" s="25">
        <v>43357</v>
      </c>
      <c r="D11" s="26">
        <v>860032095</v>
      </c>
      <c r="E11" s="27" t="str">
        <f>VLOOKUP(D11,[1]TERCEROS!$A$2:$C$4000,3,FALSE)</f>
        <v>PARQUEADEROS YA LTDA</v>
      </c>
      <c r="F11" s="28" t="s">
        <v>35</v>
      </c>
      <c r="G11" s="29">
        <v>1933</v>
      </c>
      <c r="H11" s="21">
        <f>G11*19%</f>
        <v>367.27</v>
      </c>
      <c r="I11" s="31">
        <f>IF($K$14=1,G11+H11,G11*H11)</f>
        <v>2300.27</v>
      </c>
    </row>
    <row r="12" spans="1:12" s="1" customFormat="1" ht="15" thickBot="1" x14ac:dyDescent="0.4">
      <c r="A12" s="23">
        <v>3</v>
      </c>
      <c r="B12" s="337"/>
      <c r="C12" s="25">
        <v>43356</v>
      </c>
      <c r="D12" s="26">
        <v>860503560</v>
      </c>
      <c r="E12" s="27" t="str">
        <f>VLOOKUP(D12,[1]TERCEROS!$A$2:$C$4000,3,FALSE)</f>
        <v>APARCAR LTDA</v>
      </c>
      <c r="F12" s="28" t="s">
        <v>35</v>
      </c>
      <c r="G12" s="29">
        <v>882</v>
      </c>
      <c r="H12" s="21">
        <f>G12*19%</f>
        <v>167.58</v>
      </c>
      <c r="I12" s="31">
        <f t="shared" ref="I12:I87" si="0">IF($K$14=1,G12+H12,G12*H12)</f>
        <v>1049.58</v>
      </c>
    </row>
    <row r="13" spans="1:12" s="1" customFormat="1" ht="14.5" x14ac:dyDescent="0.35">
      <c r="A13" s="23">
        <v>4</v>
      </c>
      <c r="B13" s="337"/>
      <c r="C13" s="25">
        <v>43356</v>
      </c>
      <c r="D13" s="26">
        <v>860058760</v>
      </c>
      <c r="E13" s="27" t="str">
        <f>VLOOKUP(D13,[1]TERCEROS!$A$2:$C$4000,3,FALSE)</f>
        <v>PARKING INTERNACIONAL LTDA</v>
      </c>
      <c r="F13" s="28" t="s">
        <v>35</v>
      </c>
      <c r="G13" s="29">
        <v>756</v>
      </c>
      <c r="H13" s="21">
        <f>G13*19%</f>
        <v>143.64000000000001</v>
      </c>
      <c r="I13" s="31">
        <f t="shared" si="0"/>
        <v>899.64</v>
      </c>
    </row>
    <row r="14" spans="1:12" s="1" customFormat="1" ht="15" thickBot="1" x14ac:dyDescent="0.4">
      <c r="A14" s="23">
        <v>5</v>
      </c>
      <c r="B14" s="337"/>
      <c r="C14" s="25">
        <v>43357</v>
      </c>
      <c r="D14" s="26">
        <v>860503560</v>
      </c>
      <c r="E14" s="27" t="str">
        <f>VLOOKUP(D14,[1]TERCEROS!$A$2:$C$4000,3,FALSE)</f>
        <v>APARCAR LTDA</v>
      </c>
      <c r="F14" s="28" t="s">
        <v>35</v>
      </c>
      <c r="G14" s="29">
        <v>2605</v>
      </c>
      <c r="H14" s="30">
        <f>G14*19%</f>
        <v>494.95</v>
      </c>
      <c r="I14" s="31">
        <f t="shared" si="0"/>
        <v>3099.95</v>
      </c>
      <c r="K14" s="1">
        <v>1</v>
      </c>
    </row>
    <row r="15" spans="1:12" s="1" customFormat="1" ht="14.5" x14ac:dyDescent="0.35">
      <c r="A15" s="15">
        <v>6</v>
      </c>
      <c r="B15" s="337"/>
      <c r="C15" s="25">
        <v>43341</v>
      </c>
      <c r="D15" s="26">
        <v>1022421503</v>
      </c>
      <c r="E15" s="27" t="s">
        <v>171</v>
      </c>
      <c r="F15" s="28" t="s">
        <v>35</v>
      </c>
      <c r="G15" s="29">
        <v>2500</v>
      </c>
      <c r="H15" s="30">
        <v>0</v>
      </c>
      <c r="I15" s="31">
        <f t="shared" si="0"/>
        <v>2500</v>
      </c>
    </row>
    <row r="16" spans="1:12" s="1" customFormat="1" ht="14.5" x14ac:dyDescent="0.35">
      <c r="A16" s="23">
        <v>7</v>
      </c>
      <c r="B16" s="337"/>
      <c r="C16" s="25">
        <v>43355</v>
      </c>
      <c r="D16" s="26">
        <v>830107120</v>
      </c>
      <c r="E16" s="27" t="s">
        <v>172</v>
      </c>
      <c r="F16" s="28" t="s">
        <v>35</v>
      </c>
      <c r="G16" s="29">
        <v>3487</v>
      </c>
      <c r="H16" s="30">
        <f>G16*19%</f>
        <v>662.53</v>
      </c>
      <c r="I16" s="31">
        <f t="shared" si="0"/>
        <v>4149.53</v>
      </c>
    </row>
    <row r="17" spans="1:9" s="1" customFormat="1" ht="14.5" x14ac:dyDescent="0.35">
      <c r="A17" s="23">
        <v>8</v>
      </c>
      <c r="B17" s="337"/>
      <c r="C17" s="25">
        <v>43355</v>
      </c>
      <c r="D17" s="26">
        <v>51674898</v>
      </c>
      <c r="E17" s="27" t="s">
        <v>173</v>
      </c>
      <c r="F17" s="28" t="s">
        <v>35</v>
      </c>
      <c r="G17" s="29">
        <v>1800</v>
      </c>
      <c r="H17" s="30">
        <v>0</v>
      </c>
      <c r="I17" s="31">
        <f t="shared" si="0"/>
        <v>1800</v>
      </c>
    </row>
    <row r="18" spans="1:9" s="1" customFormat="1" ht="14.5" x14ac:dyDescent="0.35">
      <c r="A18" s="23">
        <v>9</v>
      </c>
      <c r="B18" s="337"/>
      <c r="C18" s="25">
        <v>43342</v>
      </c>
      <c r="D18" s="26">
        <v>860503560</v>
      </c>
      <c r="E18" s="27" t="str">
        <f>VLOOKUP(D18,[1]TERCEROS!$A$2:$C$4000,3,FALSE)</f>
        <v>APARCAR LTDA</v>
      </c>
      <c r="F18" s="28" t="s">
        <v>35</v>
      </c>
      <c r="G18" s="29">
        <v>924</v>
      </c>
      <c r="H18" s="30">
        <f>G18*19%</f>
        <v>175.56</v>
      </c>
      <c r="I18" s="31">
        <f t="shared" si="0"/>
        <v>1099.56</v>
      </c>
    </row>
    <row r="19" spans="1:9" s="1" customFormat="1" ht="15" thickBot="1" x14ac:dyDescent="0.4">
      <c r="A19" s="23">
        <v>10</v>
      </c>
      <c r="B19" s="337"/>
      <c r="C19" s="25">
        <v>43350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30"/>
      <c r="I19" s="31">
        <f t="shared" si="0"/>
        <v>9700</v>
      </c>
    </row>
    <row r="20" spans="1:9" s="1" customFormat="1" ht="14.5" x14ac:dyDescent="0.35">
      <c r="A20" s="15">
        <v>11</v>
      </c>
      <c r="B20" s="337"/>
      <c r="C20" s="25">
        <v>43343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30"/>
      <c r="I20" s="31">
        <f t="shared" si="0"/>
        <v>9700</v>
      </c>
    </row>
    <row r="21" spans="1:9" s="1" customFormat="1" ht="14.5" x14ac:dyDescent="0.35">
      <c r="A21" s="23">
        <v>12</v>
      </c>
      <c r="B21" s="337"/>
      <c r="C21" s="25">
        <v>43347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30"/>
      <c r="I21" s="31">
        <f t="shared" si="0"/>
        <v>9700</v>
      </c>
    </row>
    <row r="22" spans="1:9" s="1" customFormat="1" ht="14.5" x14ac:dyDescent="0.35">
      <c r="A22" s="23">
        <v>13</v>
      </c>
      <c r="B22" s="337"/>
      <c r="C22" s="25">
        <v>43348</v>
      </c>
      <c r="D22" s="26">
        <v>51145008</v>
      </c>
      <c r="E22" s="27" t="s">
        <v>174</v>
      </c>
      <c r="F22" s="28" t="s">
        <v>35</v>
      </c>
      <c r="G22" s="29">
        <v>1800</v>
      </c>
      <c r="H22" s="30"/>
      <c r="I22" s="31">
        <f t="shared" si="0"/>
        <v>1800</v>
      </c>
    </row>
    <row r="23" spans="1:9" s="1" customFormat="1" ht="14.5" x14ac:dyDescent="0.35">
      <c r="A23" s="23">
        <v>14</v>
      </c>
      <c r="B23" s="337"/>
      <c r="C23" s="25">
        <v>43348</v>
      </c>
      <c r="D23" s="26">
        <v>222222222</v>
      </c>
      <c r="E23" s="27" t="str">
        <f>VLOOKUP(D23,[1]TERCEROS!$A$2:$C$4000,3,FALSE)</f>
        <v>CUANTIAS MINIMAS</v>
      </c>
      <c r="F23" s="28" t="s">
        <v>35</v>
      </c>
      <c r="G23" s="29">
        <v>2000</v>
      </c>
      <c r="H23" s="30"/>
      <c r="I23" s="31">
        <f t="shared" si="0"/>
        <v>2000</v>
      </c>
    </row>
    <row r="24" spans="1:9" s="1" customFormat="1" ht="15" thickBot="1" x14ac:dyDescent="0.4">
      <c r="A24" s="23">
        <v>15</v>
      </c>
      <c r="B24" s="337"/>
      <c r="C24" s="25">
        <v>1</v>
      </c>
      <c r="D24" s="26">
        <v>1019049951</v>
      </c>
      <c r="E24" s="27" t="s">
        <v>175</v>
      </c>
      <c r="F24" s="28" t="s">
        <v>35</v>
      </c>
      <c r="G24" s="29">
        <v>2500</v>
      </c>
      <c r="H24" s="30"/>
      <c r="I24" s="31">
        <f t="shared" si="0"/>
        <v>2500</v>
      </c>
    </row>
    <row r="25" spans="1:9" s="1" customFormat="1" ht="14.5" x14ac:dyDescent="0.35">
      <c r="A25" s="15">
        <v>16</v>
      </c>
      <c r="B25" s="337"/>
      <c r="C25" s="25">
        <v>43350</v>
      </c>
      <c r="D25" s="26">
        <v>52145008</v>
      </c>
      <c r="E25" s="27" t="s">
        <v>174</v>
      </c>
      <c r="F25" s="28" t="s">
        <v>35</v>
      </c>
      <c r="G25" s="29">
        <v>1900</v>
      </c>
      <c r="H25" s="30"/>
      <c r="I25" s="31">
        <f t="shared" si="0"/>
        <v>1900</v>
      </c>
    </row>
    <row r="26" spans="1:9" s="1" customFormat="1" ht="14.5" x14ac:dyDescent="0.35">
      <c r="A26" s="23">
        <v>17</v>
      </c>
      <c r="B26" s="337"/>
      <c r="C26" s="25">
        <v>43354</v>
      </c>
      <c r="D26" s="26">
        <v>222222222</v>
      </c>
      <c r="E26" s="27" t="str">
        <f>VLOOKUP(D26,[1]TERCEROS!$A$2:$C$4000,3,FALSE)</f>
        <v>CUANTIAS MINIMAS</v>
      </c>
      <c r="F26" s="28" t="s">
        <v>35</v>
      </c>
      <c r="G26" s="29">
        <v>4000</v>
      </c>
      <c r="H26" s="30"/>
      <c r="I26" s="31">
        <f t="shared" si="0"/>
        <v>4000</v>
      </c>
    </row>
    <row r="27" spans="1:9" s="1" customFormat="1" ht="14.5" x14ac:dyDescent="0.35">
      <c r="A27" s="23">
        <v>18</v>
      </c>
      <c r="B27" s="337"/>
      <c r="C27" s="25">
        <v>43354</v>
      </c>
      <c r="D27" s="26">
        <v>1022421503</v>
      </c>
      <c r="E27" s="27" t="s">
        <v>176</v>
      </c>
      <c r="F27" s="28" t="s">
        <v>35</v>
      </c>
      <c r="G27" s="29">
        <v>2000</v>
      </c>
      <c r="H27" s="30"/>
      <c r="I27" s="31">
        <f t="shared" si="0"/>
        <v>2000</v>
      </c>
    </row>
    <row r="28" spans="1:9" s="1" customFormat="1" ht="14.5" x14ac:dyDescent="0.35">
      <c r="A28" s="23">
        <v>19</v>
      </c>
      <c r="B28" s="337"/>
      <c r="C28" s="25">
        <v>43354</v>
      </c>
      <c r="D28" s="26">
        <v>1022421503</v>
      </c>
      <c r="E28" s="27" t="s">
        <v>176</v>
      </c>
      <c r="F28" s="28" t="s">
        <v>35</v>
      </c>
      <c r="G28" s="29">
        <v>1000</v>
      </c>
      <c r="H28" s="30"/>
      <c r="I28" s="31">
        <f t="shared" si="0"/>
        <v>1000</v>
      </c>
    </row>
    <row r="29" spans="1:9" s="1" customFormat="1" ht="15" thickBot="1" x14ac:dyDescent="0.4">
      <c r="A29" s="23">
        <v>20</v>
      </c>
      <c r="B29" s="337"/>
      <c r="C29" s="25">
        <v>43335</v>
      </c>
      <c r="D29" s="26">
        <v>1124015055</v>
      </c>
      <c r="E29" s="27" t="s">
        <v>177</v>
      </c>
      <c r="F29" s="28" t="s">
        <v>35</v>
      </c>
      <c r="G29" s="29">
        <v>1600</v>
      </c>
      <c r="H29" s="30"/>
      <c r="I29" s="31">
        <f t="shared" si="0"/>
        <v>1600</v>
      </c>
    </row>
    <row r="30" spans="1:9" s="1" customFormat="1" ht="14.5" x14ac:dyDescent="0.35">
      <c r="A30" s="15">
        <v>21</v>
      </c>
      <c r="B30" s="337"/>
      <c r="C30" s="25">
        <v>43358</v>
      </c>
      <c r="D30" s="26"/>
      <c r="E30" s="27" t="s">
        <v>178</v>
      </c>
      <c r="F30" s="28" t="s">
        <v>179</v>
      </c>
      <c r="G30" s="29">
        <v>9800</v>
      </c>
      <c r="H30" s="30"/>
      <c r="I30" s="31">
        <f t="shared" si="0"/>
        <v>9800</v>
      </c>
    </row>
    <row r="31" spans="1:9" s="1" customFormat="1" ht="14.5" x14ac:dyDescent="0.35">
      <c r="A31" s="23">
        <v>22</v>
      </c>
      <c r="B31" s="337"/>
      <c r="C31" s="25">
        <v>43357</v>
      </c>
      <c r="D31" s="26">
        <v>20994315</v>
      </c>
      <c r="E31" s="27" t="s">
        <v>180</v>
      </c>
      <c r="F31" s="28" t="s">
        <v>181</v>
      </c>
      <c r="G31" s="29">
        <v>2500</v>
      </c>
      <c r="H31" s="30"/>
      <c r="I31" s="31">
        <f t="shared" si="0"/>
        <v>2500</v>
      </c>
    </row>
    <row r="32" spans="1:9" s="1" customFormat="1" ht="14.5" x14ac:dyDescent="0.35">
      <c r="A32" s="23">
        <v>23</v>
      </c>
      <c r="B32" s="337"/>
      <c r="C32" s="25">
        <v>43335</v>
      </c>
      <c r="D32" s="26">
        <v>860058760</v>
      </c>
      <c r="E32" s="27" t="str">
        <f>VLOOKUP(D32,[1]TERCEROS!$A$2:$C$4000,3,FALSE)</f>
        <v>PARKING INTERNACIONAL LTDA</v>
      </c>
      <c r="F32" s="28" t="s">
        <v>35</v>
      </c>
      <c r="G32" s="29">
        <v>1134</v>
      </c>
      <c r="H32" s="30">
        <f>+G32*19%</f>
        <v>215.46</v>
      </c>
      <c r="I32" s="31">
        <f t="shared" si="0"/>
        <v>1349.46</v>
      </c>
    </row>
    <row r="33" spans="1:9" s="1" customFormat="1" ht="14.5" x14ac:dyDescent="0.35">
      <c r="A33" s="23">
        <v>24</v>
      </c>
      <c r="B33" s="337"/>
      <c r="C33" s="25">
        <v>43356</v>
      </c>
      <c r="D33" s="26">
        <v>1074184321</v>
      </c>
      <c r="E33" s="27" t="str">
        <f>VLOOKUP(D33,[1]TERCEROS!$A$2:$C$4000,3,FALSE)</f>
        <v>AUTOLAVADO Y PARQUEADERO SANTA JIMENA</v>
      </c>
      <c r="F33" s="28" t="s">
        <v>182</v>
      </c>
      <c r="G33" s="29">
        <v>25000</v>
      </c>
      <c r="H33" s="30"/>
      <c r="I33" s="31">
        <f t="shared" si="0"/>
        <v>25000</v>
      </c>
    </row>
    <row r="34" spans="1:9" s="1" customFormat="1" ht="15" thickBot="1" x14ac:dyDescent="0.4">
      <c r="A34" s="23">
        <v>25</v>
      </c>
      <c r="B34" s="337"/>
      <c r="C34" s="25">
        <v>43356</v>
      </c>
      <c r="D34" s="26">
        <v>830054076</v>
      </c>
      <c r="E34" s="27" t="str">
        <f>VLOOKUP(D34,[1]TERCEROS!$A$2:$C$4000,3,FALSE)</f>
        <v>FIDEICOMISOS SOCIEDAD FIDUCIARIA</v>
      </c>
      <c r="F34" s="28" t="s">
        <v>59</v>
      </c>
      <c r="G34" s="29">
        <v>9700</v>
      </c>
      <c r="H34" s="30"/>
      <c r="I34" s="31">
        <f t="shared" si="0"/>
        <v>9700</v>
      </c>
    </row>
    <row r="35" spans="1:9" s="1" customFormat="1" ht="14.5" x14ac:dyDescent="0.35">
      <c r="A35" s="15">
        <v>26</v>
      </c>
      <c r="B35" s="337"/>
      <c r="C35" s="25">
        <v>43357</v>
      </c>
      <c r="D35" s="26">
        <v>830054076</v>
      </c>
      <c r="E35" s="27" t="str">
        <f>VLOOKUP(D35,[1]TERCEROS!$A$2:$C$4000,3,FALSE)</f>
        <v>FIDEICOMISOS SOCIEDAD FIDUCIARIA</v>
      </c>
      <c r="F35" s="28" t="s">
        <v>59</v>
      </c>
      <c r="G35" s="29">
        <v>9700</v>
      </c>
      <c r="H35" s="30"/>
      <c r="I35" s="31">
        <f t="shared" si="0"/>
        <v>9700</v>
      </c>
    </row>
    <row r="36" spans="1:9" s="1" customFormat="1" ht="14.5" x14ac:dyDescent="0.35">
      <c r="A36" s="23">
        <v>27</v>
      </c>
      <c r="B36" s="337"/>
      <c r="C36" s="25">
        <v>43356</v>
      </c>
      <c r="D36" s="26">
        <v>830054076</v>
      </c>
      <c r="E36" s="27" t="str">
        <f>VLOOKUP(D36,[1]TERCEROS!$A$2:$C$4000,3,FALSE)</f>
        <v>FIDEICOMISOS SOCIEDAD FIDUCIARIA</v>
      </c>
      <c r="F36" s="28" t="s">
        <v>59</v>
      </c>
      <c r="G36" s="29">
        <v>9700</v>
      </c>
      <c r="H36" s="30"/>
      <c r="I36" s="31">
        <f t="shared" si="0"/>
        <v>9700</v>
      </c>
    </row>
    <row r="37" spans="1:9" s="1" customFormat="1" ht="14.5" x14ac:dyDescent="0.35">
      <c r="A37" s="23">
        <v>28</v>
      </c>
      <c r="B37" s="337"/>
      <c r="C37" s="25">
        <v>43360</v>
      </c>
      <c r="D37" s="26">
        <v>830054076</v>
      </c>
      <c r="E37" s="27" t="str">
        <f>VLOOKUP(D37,[1]TERCEROS!$A$2:$C$4000,3,FALSE)</f>
        <v>FIDEICOMISOS SOCIEDAD FIDUCIARIA</v>
      </c>
      <c r="F37" s="28" t="s">
        <v>59</v>
      </c>
      <c r="G37" s="29">
        <v>9700</v>
      </c>
      <c r="H37" s="30"/>
      <c r="I37" s="31">
        <f t="shared" si="0"/>
        <v>9700</v>
      </c>
    </row>
    <row r="38" spans="1:9" s="1" customFormat="1" ht="14.5" x14ac:dyDescent="0.35">
      <c r="A38" s="23">
        <v>29</v>
      </c>
      <c r="B38" s="337"/>
      <c r="C38" s="25">
        <v>43357</v>
      </c>
      <c r="D38" s="26">
        <v>900491889</v>
      </c>
      <c r="E38" s="27" t="str">
        <f>VLOOKUP(D38,[1]TERCEROS!$A$2:$C$4000,3,FALSE)</f>
        <v>EDS TERMINAL NEIVA</v>
      </c>
      <c r="F38" s="28" t="s">
        <v>68</v>
      </c>
      <c r="G38" s="29">
        <v>23900</v>
      </c>
      <c r="H38" s="30"/>
      <c r="I38" s="31">
        <f t="shared" si="0"/>
        <v>23900</v>
      </c>
    </row>
    <row r="39" spans="1:9" s="1" customFormat="1" ht="15" thickBot="1" x14ac:dyDescent="0.4">
      <c r="A39" s="23">
        <v>30</v>
      </c>
      <c r="B39" s="337"/>
      <c r="C39" s="25">
        <v>43356</v>
      </c>
      <c r="D39" s="26">
        <v>830054076</v>
      </c>
      <c r="E39" s="27" t="str">
        <f>VLOOKUP(D39,[1]TERCEROS!$A$2:$C$4000,3,FALSE)</f>
        <v>FIDEICOMISOS SOCIEDAD FIDUCIARIA</v>
      </c>
      <c r="F39" s="28" t="s">
        <v>59</v>
      </c>
      <c r="G39" s="29">
        <v>9700</v>
      </c>
      <c r="H39" s="30"/>
      <c r="I39" s="31">
        <f t="shared" si="0"/>
        <v>9700</v>
      </c>
    </row>
    <row r="40" spans="1:9" s="1" customFormat="1" ht="14.5" x14ac:dyDescent="0.35">
      <c r="A40" s="15">
        <v>31</v>
      </c>
      <c r="B40" s="337"/>
      <c r="C40" s="25">
        <v>43355</v>
      </c>
      <c r="D40" s="26">
        <v>830054076</v>
      </c>
      <c r="E40" s="27" t="str">
        <f>VLOOKUP(D40,[1]TERCEROS!$A$2:$C$4000,3,FALSE)</f>
        <v>FIDEICOMISOS SOCIEDAD FIDUCIARIA</v>
      </c>
      <c r="F40" s="28" t="s">
        <v>59</v>
      </c>
      <c r="G40" s="29">
        <v>9700</v>
      </c>
      <c r="H40" s="30"/>
      <c r="I40" s="31">
        <f t="shared" si="0"/>
        <v>9700</v>
      </c>
    </row>
    <row r="41" spans="1:9" s="1" customFormat="1" ht="14.5" x14ac:dyDescent="0.35">
      <c r="A41" s="23">
        <v>32</v>
      </c>
      <c r="B41" s="337"/>
      <c r="C41" s="25">
        <v>43356</v>
      </c>
      <c r="D41" s="26">
        <v>800091165</v>
      </c>
      <c r="E41" s="27" t="s">
        <v>69</v>
      </c>
      <c r="F41" s="28" t="s">
        <v>35</v>
      </c>
      <c r="G41" s="29">
        <v>6000</v>
      </c>
      <c r="H41" s="30"/>
      <c r="I41" s="31">
        <f t="shared" si="0"/>
        <v>6000</v>
      </c>
    </row>
    <row r="42" spans="1:9" s="1" customFormat="1" ht="14.5" x14ac:dyDescent="0.35">
      <c r="A42" s="23">
        <v>33</v>
      </c>
      <c r="B42" s="337"/>
      <c r="C42" s="25">
        <v>43357</v>
      </c>
      <c r="D42" s="26">
        <v>860534221</v>
      </c>
      <c r="E42" s="27" t="str">
        <f>VLOOKUP(D42,[1]TERCEROS!$A$2:$C$4000,3,FALSE)</f>
        <v>PAN PA YA LTDA</v>
      </c>
      <c r="F42" s="28" t="s">
        <v>183</v>
      </c>
      <c r="G42" s="29">
        <v>25400</v>
      </c>
      <c r="H42" s="30"/>
      <c r="I42" s="31">
        <f t="shared" si="0"/>
        <v>25400</v>
      </c>
    </row>
    <row r="43" spans="1:9" s="1" customFormat="1" ht="14.5" x14ac:dyDescent="0.35">
      <c r="A43" s="23">
        <v>34</v>
      </c>
      <c r="B43" s="337"/>
      <c r="C43" s="25">
        <v>43357</v>
      </c>
      <c r="D43" s="26">
        <v>830054076</v>
      </c>
      <c r="E43" s="27" t="str">
        <f>VLOOKUP(D43,[1]TERCEROS!$A$2:$C$4000,3,FALSE)</f>
        <v>FIDEICOMISOS SOCIEDAD FIDUCIARIA</v>
      </c>
      <c r="F43" s="28" t="s">
        <v>59</v>
      </c>
      <c r="G43" s="29">
        <v>9700</v>
      </c>
      <c r="H43" s="30"/>
      <c r="I43" s="31">
        <f t="shared" si="0"/>
        <v>9700</v>
      </c>
    </row>
    <row r="44" spans="1:9" s="1" customFormat="1" ht="15" thickBot="1" x14ac:dyDescent="0.4">
      <c r="A44" s="23">
        <v>35</v>
      </c>
      <c r="B44" s="337"/>
      <c r="C44" s="25">
        <v>43354</v>
      </c>
      <c r="D44" s="26">
        <v>79718238</v>
      </c>
      <c r="E44" s="27" t="str">
        <f>VLOOKUP(D44,[1]TERCEROS!$A$2:$C$4000,3,FALSE)</f>
        <v>CONSTANTINO CHAVEZ SEPULVEDA</v>
      </c>
      <c r="F44" s="28" t="s">
        <v>184</v>
      </c>
      <c r="G44" s="29">
        <v>365547</v>
      </c>
      <c r="H44" s="30">
        <f>+G44*19%</f>
        <v>69453.930000000008</v>
      </c>
      <c r="I44" s="31">
        <f t="shared" si="0"/>
        <v>435000.93</v>
      </c>
    </row>
    <row r="45" spans="1:9" s="1" customFormat="1" ht="14.5" x14ac:dyDescent="0.35">
      <c r="A45" s="15">
        <v>36</v>
      </c>
      <c r="B45" s="337"/>
      <c r="C45" s="25">
        <v>43347</v>
      </c>
      <c r="D45" s="26">
        <v>830054076</v>
      </c>
      <c r="E45" s="27" t="str">
        <f>VLOOKUP(D45,[1]TERCEROS!$A$2:$C$4000,3,FALSE)</f>
        <v>FIDEICOMISOS SOCIEDAD FIDUCIARIA</v>
      </c>
      <c r="F45" s="28" t="s">
        <v>59</v>
      </c>
      <c r="G45" s="29">
        <v>9700</v>
      </c>
      <c r="H45" s="30"/>
      <c r="I45" s="31">
        <f t="shared" si="0"/>
        <v>9700</v>
      </c>
    </row>
    <row r="46" spans="1:9" s="1" customFormat="1" ht="14.5" x14ac:dyDescent="0.35">
      <c r="A46" s="23">
        <v>37</v>
      </c>
      <c r="B46" s="337"/>
      <c r="C46" s="25">
        <v>43323</v>
      </c>
      <c r="D46" s="26">
        <v>222222222</v>
      </c>
      <c r="E46" s="27" t="s">
        <v>212</v>
      </c>
      <c r="F46" s="28" t="s">
        <v>48</v>
      </c>
      <c r="G46" s="29">
        <v>70000</v>
      </c>
      <c r="H46" s="30"/>
      <c r="I46" s="31">
        <f t="shared" si="0"/>
        <v>70000</v>
      </c>
    </row>
    <row r="47" spans="1:9" s="1" customFormat="1" ht="24" x14ac:dyDescent="0.35">
      <c r="A47" s="23">
        <v>38</v>
      </c>
      <c r="B47" s="337"/>
      <c r="C47" s="25">
        <v>43350</v>
      </c>
      <c r="D47" s="26">
        <v>22222222</v>
      </c>
      <c r="E47" s="27" t="s">
        <v>213</v>
      </c>
      <c r="F47" s="28" t="s">
        <v>214</v>
      </c>
      <c r="G47" s="29">
        <v>244100</v>
      </c>
      <c r="H47" s="30"/>
      <c r="I47" s="31">
        <f t="shared" si="0"/>
        <v>244100</v>
      </c>
    </row>
    <row r="48" spans="1:9" s="1" customFormat="1" ht="14.5" x14ac:dyDescent="0.35">
      <c r="A48" s="23">
        <v>39</v>
      </c>
      <c r="B48" s="337"/>
      <c r="C48" s="25">
        <v>43354</v>
      </c>
      <c r="D48" s="26">
        <v>830054076</v>
      </c>
      <c r="E48" s="27" t="str">
        <f>VLOOKUP(D48,[1]TERCEROS!$A$2:$C$4000,3,FALSE)</f>
        <v>FIDEICOMISOS SOCIEDAD FIDUCIARIA</v>
      </c>
      <c r="F48" s="28" t="s">
        <v>59</v>
      </c>
      <c r="G48" s="29">
        <v>9700</v>
      </c>
      <c r="H48" s="30"/>
      <c r="I48" s="31">
        <f t="shared" si="0"/>
        <v>9700</v>
      </c>
    </row>
    <row r="49" spans="1:9" s="1" customFormat="1" ht="15" thickBot="1" x14ac:dyDescent="0.4">
      <c r="A49" s="23">
        <v>40</v>
      </c>
      <c r="B49" s="337"/>
      <c r="C49" s="25">
        <v>43348</v>
      </c>
      <c r="D49" s="26">
        <v>830054076</v>
      </c>
      <c r="E49" s="27" t="str">
        <f>VLOOKUP(D49,[1]TERCEROS!$A$2:$C$4000,3,FALSE)</f>
        <v>FIDEICOMISOS SOCIEDAD FIDUCIARIA</v>
      </c>
      <c r="F49" s="28" t="s">
        <v>59</v>
      </c>
      <c r="G49" s="29">
        <v>9700</v>
      </c>
      <c r="H49" s="30"/>
      <c r="I49" s="31">
        <f t="shared" si="0"/>
        <v>9700</v>
      </c>
    </row>
    <row r="50" spans="1:9" s="1" customFormat="1" ht="14.5" x14ac:dyDescent="0.35">
      <c r="A50" s="15">
        <v>41</v>
      </c>
      <c r="B50" s="337"/>
      <c r="C50" s="25">
        <v>43349</v>
      </c>
      <c r="D50" s="26">
        <v>830054076</v>
      </c>
      <c r="E50" s="27" t="str">
        <f>VLOOKUP(D50,[1]TERCEROS!$A$2:$C$4000,3,FALSE)</f>
        <v>FIDEICOMISOS SOCIEDAD FIDUCIARIA</v>
      </c>
      <c r="F50" s="28" t="s">
        <v>59</v>
      </c>
      <c r="G50" s="29">
        <v>9700</v>
      </c>
      <c r="H50" s="30"/>
      <c r="I50" s="31">
        <f t="shared" si="0"/>
        <v>9700</v>
      </c>
    </row>
    <row r="51" spans="1:9" s="1" customFormat="1" ht="14.5" x14ac:dyDescent="0.35">
      <c r="A51" s="23">
        <v>42</v>
      </c>
      <c r="B51" s="337"/>
      <c r="C51" s="25">
        <v>43353</v>
      </c>
      <c r="D51" s="26">
        <v>830054076</v>
      </c>
      <c r="E51" s="27" t="str">
        <f>VLOOKUP(D51,[1]TERCEROS!$A$2:$C$4000,3,FALSE)</f>
        <v>FIDEICOMISOS SOCIEDAD FIDUCIARIA</v>
      </c>
      <c r="F51" s="28" t="s">
        <v>59</v>
      </c>
      <c r="G51" s="29">
        <v>9700</v>
      </c>
      <c r="H51" s="30"/>
      <c r="I51" s="31">
        <f t="shared" si="0"/>
        <v>9700</v>
      </c>
    </row>
    <row r="52" spans="1:9" s="1" customFormat="1" ht="14.5" x14ac:dyDescent="0.35">
      <c r="A52" s="23">
        <v>43</v>
      </c>
      <c r="B52" s="337"/>
      <c r="C52" s="25">
        <v>43346</v>
      </c>
      <c r="D52" s="26">
        <v>830054076</v>
      </c>
      <c r="E52" s="27" t="str">
        <f>VLOOKUP(D52,[1]TERCEROS!$A$2:$C$4000,3,FALSE)</f>
        <v>FIDEICOMISOS SOCIEDAD FIDUCIARIA</v>
      </c>
      <c r="F52" s="28" t="s">
        <v>59</v>
      </c>
      <c r="G52" s="29">
        <v>9700</v>
      </c>
      <c r="H52" s="30"/>
      <c r="I52" s="31">
        <f t="shared" si="0"/>
        <v>9700</v>
      </c>
    </row>
    <row r="53" spans="1:9" s="1" customFormat="1" ht="14.5" x14ac:dyDescent="0.35">
      <c r="A53" s="23">
        <v>44</v>
      </c>
      <c r="B53" s="337"/>
      <c r="C53" s="32">
        <v>43349</v>
      </c>
      <c r="D53" s="26">
        <v>830054076</v>
      </c>
      <c r="E53" s="27" t="str">
        <f>VLOOKUP(D53,[1]TERCEROS!$A$2:$C$4000,3,FALSE)</f>
        <v>FIDEICOMISOS SOCIEDAD FIDUCIARIA</v>
      </c>
      <c r="F53" s="28" t="s">
        <v>59</v>
      </c>
      <c r="G53" s="29">
        <v>9700</v>
      </c>
      <c r="H53" s="30"/>
      <c r="I53" s="31">
        <f t="shared" si="0"/>
        <v>9700</v>
      </c>
    </row>
    <row r="54" spans="1:9" s="1" customFormat="1" ht="15" thickBot="1" x14ac:dyDescent="0.4">
      <c r="A54" s="23">
        <v>45</v>
      </c>
      <c r="B54" s="337"/>
      <c r="C54" s="32">
        <v>43351</v>
      </c>
      <c r="D54" s="26">
        <v>830054076</v>
      </c>
      <c r="E54" s="27" t="str">
        <f>VLOOKUP(D54,[1]TERCEROS!$A$2:$C$4000,3,FALSE)</f>
        <v>FIDEICOMISOS SOCIEDAD FIDUCIARIA</v>
      </c>
      <c r="F54" s="28" t="s">
        <v>59</v>
      </c>
      <c r="G54" s="29">
        <v>9700</v>
      </c>
      <c r="H54" s="30"/>
      <c r="I54" s="31">
        <f t="shared" si="0"/>
        <v>9700</v>
      </c>
    </row>
    <row r="55" spans="1:9" s="1" customFormat="1" ht="14.5" x14ac:dyDescent="0.35">
      <c r="A55" s="15">
        <v>46</v>
      </c>
      <c r="B55" s="337"/>
      <c r="C55" s="32">
        <v>43348</v>
      </c>
      <c r="D55" s="26">
        <v>830054076</v>
      </c>
      <c r="E55" s="27" t="str">
        <f>VLOOKUP(D55,[1]TERCEROS!$A$2:$C$4000,3,FALSE)</f>
        <v>FIDEICOMISOS SOCIEDAD FIDUCIARIA</v>
      </c>
      <c r="F55" s="28" t="s">
        <v>59</v>
      </c>
      <c r="G55" s="29">
        <v>9700</v>
      </c>
      <c r="H55" s="30"/>
      <c r="I55" s="31">
        <f t="shared" si="0"/>
        <v>9700</v>
      </c>
    </row>
    <row r="56" spans="1:9" s="1" customFormat="1" ht="14.5" x14ac:dyDescent="0.35">
      <c r="A56" s="23">
        <v>47</v>
      </c>
      <c r="B56" s="337"/>
      <c r="C56" s="32">
        <v>43357</v>
      </c>
      <c r="D56" s="26">
        <v>3199965</v>
      </c>
      <c r="E56" s="27" t="str">
        <f>VLOOKUP(D56,[1]TERCEROS!$A$2:$C$4000,3,FALSE)</f>
        <v>ACUÑA INFANTE HECTOR HERNAN</v>
      </c>
      <c r="F56" s="28" t="s">
        <v>185</v>
      </c>
      <c r="G56" s="29">
        <v>4000</v>
      </c>
      <c r="H56" s="30"/>
      <c r="I56" s="31">
        <f>IF($K$14=1,G56+H56,G56*H56)</f>
        <v>4000</v>
      </c>
    </row>
    <row r="57" spans="1:9" s="1" customFormat="1" ht="14.5" x14ac:dyDescent="0.35">
      <c r="A57" s="23">
        <v>48</v>
      </c>
      <c r="B57" s="337"/>
      <c r="C57" s="32">
        <v>43351</v>
      </c>
      <c r="D57" s="26">
        <v>222222222</v>
      </c>
      <c r="E57" s="27" t="str">
        <f>VLOOKUP(D57,[1]TERCEROS!$A$2:$C$4000,3,FALSE)</f>
        <v>CUANTIAS MINIMAS</v>
      </c>
      <c r="F57" s="28" t="s">
        <v>186</v>
      </c>
      <c r="G57" s="29">
        <v>18000</v>
      </c>
      <c r="H57" s="30"/>
      <c r="I57" s="31">
        <f t="shared" si="0"/>
        <v>18000</v>
      </c>
    </row>
    <row r="58" spans="1:9" s="1" customFormat="1" ht="14.5" x14ac:dyDescent="0.35">
      <c r="A58" s="23">
        <v>49</v>
      </c>
      <c r="B58" s="337"/>
      <c r="C58" s="32">
        <v>43355</v>
      </c>
      <c r="D58" s="26">
        <v>39553225</v>
      </c>
      <c r="E58" s="27" t="s">
        <v>187</v>
      </c>
      <c r="F58" s="28" t="s">
        <v>188</v>
      </c>
      <c r="G58" s="29">
        <v>19600</v>
      </c>
      <c r="H58" s="30"/>
      <c r="I58" s="31">
        <f t="shared" si="0"/>
        <v>19600</v>
      </c>
    </row>
    <row r="59" spans="1:9" s="1" customFormat="1" ht="15" thickBot="1" x14ac:dyDescent="0.4">
      <c r="A59" s="23">
        <v>50</v>
      </c>
      <c r="B59" s="337"/>
      <c r="C59" s="32">
        <v>43355</v>
      </c>
      <c r="D59" s="26">
        <v>51778554</v>
      </c>
      <c r="E59" s="27" t="s">
        <v>189</v>
      </c>
      <c r="F59" s="28" t="s">
        <v>190</v>
      </c>
      <c r="G59" s="29">
        <v>15966</v>
      </c>
      <c r="H59" s="30">
        <f>+G59*19%</f>
        <v>3033.54</v>
      </c>
      <c r="I59" s="31">
        <f t="shared" si="0"/>
        <v>18999.54</v>
      </c>
    </row>
    <row r="60" spans="1:9" s="1" customFormat="1" ht="14.5" x14ac:dyDescent="0.35">
      <c r="A60" s="15">
        <v>51</v>
      </c>
      <c r="B60" s="337"/>
      <c r="C60" s="32">
        <v>43353</v>
      </c>
      <c r="D60" s="26">
        <v>222222222</v>
      </c>
      <c r="E60" s="27" t="str">
        <f>VLOOKUP(D60,[1]TERCEROS!$A$2:$C$4000,3,FALSE)</f>
        <v>CUANTIAS MINIMAS</v>
      </c>
      <c r="F60" s="28" t="s">
        <v>191</v>
      </c>
      <c r="G60" s="29">
        <v>16500</v>
      </c>
      <c r="H60" s="30"/>
      <c r="I60" s="31">
        <f t="shared" si="0"/>
        <v>16500</v>
      </c>
    </row>
    <row r="61" spans="1:9" s="1" customFormat="1" ht="24" x14ac:dyDescent="0.35">
      <c r="A61" s="23">
        <v>52</v>
      </c>
      <c r="B61" s="337"/>
      <c r="C61" s="32">
        <v>43354</v>
      </c>
      <c r="D61" s="26">
        <v>222222222</v>
      </c>
      <c r="E61" s="27" t="str">
        <f>VLOOKUP(D61,[1]TERCEROS!$A$2:$C$4000,3,FALSE)</f>
        <v>CUANTIAS MINIMAS</v>
      </c>
      <c r="F61" s="28" t="s">
        <v>192</v>
      </c>
      <c r="G61" s="29">
        <v>14000</v>
      </c>
      <c r="H61" s="30"/>
      <c r="I61" s="31">
        <f t="shared" si="0"/>
        <v>14000</v>
      </c>
    </row>
    <row r="62" spans="1:9" s="1" customFormat="1" ht="14.5" x14ac:dyDescent="0.35">
      <c r="A62" s="23">
        <v>53</v>
      </c>
      <c r="B62" s="337"/>
      <c r="C62" s="32">
        <v>43355</v>
      </c>
      <c r="D62" s="26">
        <v>832005813</v>
      </c>
      <c r="E62" s="27" t="str">
        <f>VLOOKUP(D62,[1]TERCEROS!$A$2:$C$4000,3,FALSE)</f>
        <v>EMPRESA DE ACUEDUCTO COMUNAL DE LA PUNTA</v>
      </c>
      <c r="F62" s="28" t="s">
        <v>193</v>
      </c>
      <c r="G62" s="29">
        <v>265704</v>
      </c>
      <c r="H62" s="30"/>
      <c r="I62" s="31">
        <f t="shared" si="0"/>
        <v>265704</v>
      </c>
    </row>
    <row r="63" spans="1:9" s="1" customFormat="1" ht="14.5" x14ac:dyDescent="0.35">
      <c r="A63" s="23">
        <v>54</v>
      </c>
      <c r="B63" s="337"/>
      <c r="C63" s="32">
        <v>43353</v>
      </c>
      <c r="D63" s="26">
        <v>830054076</v>
      </c>
      <c r="E63" s="27" t="str">
        <f>VLOOKUP(D63,[1]TERCEROS!$A$2:$C$4000,3,FALSE)</f>
        <v>FIDEICOMISOS SOCIEDAD FIDUCIARIA</v>
      </c>
      <c r="F63" s="28" t="s">
        <v>59</v>
      </c>
      <c r="G63" s="29">
        <v>9700</v>
      </c>
      <c r="H63" s="30"/>
      <c r="I63" s="31">
        <f t="shared" si="0"/>
        <v>9700</v>
      </c>
    </row>
    <row r="64" spans="1:9" s="1" customFormat="1" ht="15" thickBot="1" x14ac:dyDescent="0.4">
      <c r="A64" s="23">
        <v>55</v>
      </c>
      <c r="B64" s="337"/>
      <c r="C64" s="32">
        <v>43354</v>
      </c>
      <c r="D64" s="26">
        <v>1074184321</v>
      </c>
      <c r="E64" s="27" t="str">
        <f>VLOOKUP(D64,[1]TERCEROS!$A$2:$C$4000,3,FALSE)</f>
        <v>AUTOLAVADO Y PARQUEADERO SANTA JIMENA</v>
      </c>
      <c r="F64" s="28" t="s">
        <v>60</v>
      </c>
      <c r="G64" s="29">
        <v>25000</v>
      </c>
      <c r="H64" s="30"/>
      <c r="I64" s="31">
        <f t="shared" si="0"/>
        <v>25000</v>
      </c>
    </row>
    <row r="65" spans="1:9" s="1" customFormat="1" ht="14.5" x14ac:dyDescent="0.35">
      <c r="A65" s="15">
        <v>56</v>
      </c>
      <c r="B65" s="337"/>
      <c r="C65" s="32">
        <v>43354</v>
      </c>
      <c r="D65" s="26">
        <v>5463640</v>
      </c>
      <c r="E65" s="27" t="str">
        <f>VLOOKUP(D65,[1]TERCEROS!$A$2:$C$4000,3,FALSE)</f>
        <v>JAIRO GANDUR ABUABARA</v>
      </c>
      <c r="F65" s="28" t="s">
        <v>34</v>
      </c>
      <c r="G65" s="29">
        <v>50000</v>
      </c>
      <c r="H65" s="30"/>
      <c r="I65" s="31">
        <f t="shared" si="0"/>
        <v>50000</v>
      </c>
    </row>
    <row r="66" spans="1:9" s="1" customFormat="1" ht="14.5" x14ac:dyDescent="0.35">
      <c r="A66" s="23">
        <v>57</v>
      </c>
      <c r="B66" s="337"/>
      <c r="C66" s="32">
        <v>43353</v>
      </c>
      <c r="D66" s="26">
        <v>900959347</v>
      </c>
      <c r="E66" s="27" t="str">
        <f>VLOOKUP(D66,[1]TERCEROS!$A$2:$C$4000,3,FALSE)</f>
        <v>DESCO SERVICIOS SAS</v>
      </c>
      <c r="F66" s="28" t="s">
        <v>34</v>
      </c>
      <c r="G66" s="29">
        <v>20000</v>
      </c>
      <c r="H66" s="30"/>
      <c r="I66" s="31">
        <f t="shared" si="0"/>
        <v>20000</v>
      </c>
    </row>
    <row r="67" spans="1:9" s="1" customFormat="1" ht="14.5" x14ac:dyDescent="0.35">
      <c r="A67" s="23">
        <v>58</v>
      </c>
      <c r="B67" s="337"/>
      <c r="C67" s="32">
        <v>43354</v>
      </c>
      <c r="D67" s="26">
        <v>800091165</v>
      </c>
      <c r="E67" s="27" t="s">
        <v>69</v>
      </c>
      <c r="F67" s="28" t="s">
        <v>35</v>
      </c>
      <c r="G67" s="29">
        <v>6000</v>
      </c>
      <c r="H67" s="30"/>
      <c r="I67" s="31">
        <f t="shared" si="0"/>
        <v>6000</v>
      </c>
    </row>
    <row r="68" spans="1:9" s="1" customFormat="1" ht="14.5" x14ac:dyDescent="0.35">
      <c r="A68" s="23">
        <v>59</v>
      </c>
      <c r="B68" s="337"/>
      <c r="C68" s="32">
        <v>43344</v>
      </c>
      <c r="D68" s="26">
        <v>222222222</v>
      </c>
      <c r="E68" s="27" t="str">
        <f>VLOOKUP(D68,[1]TERCEROS!$A$2:$C$4000,3,FALSE)</f>
        <v>CUANTIAS MINIMAS</v>
      </c>
      <c r="F68" s="28" t="s">
        <v>35</v>
      </c>
      <c r="G68" s="29">
        <v>3008</v>
      </c>
      <c r="H68" s="30"/>
      <c r="I68" s="31">
        <f t="shared" si="0"/>
        <v>3008</v>
      </c>
    </row>
    <row r="69" spans="1:9" s="1" customFormat="1" ht="15" thickBot="1" x14ac:dyDescent="0.4">
      <c r="A69" s="23">
        <v>60</v>
      </c>
      <c r="B69" s="337"/>
      <c r="C69" s="32">
        <v>43355</v>
      </c>
      <c r="D69" s="26">
        <v>830054076</v>
      </c>
      <c r="E69" s="27" t="str">
        <f>VLOOKUP(D69,[1]TERCEROS!$A$2:$C$4000,3,FALSE)</f>
        <v>FIDEICOMISOS SOCIEDAD FIDUCIARIA</v>
      </c>
      <c r="F69" s="28" t="s">
        <v>59</v>
      </c>
      <c r="G69" s="29">
        <v>9700</v>
      </c>
      <c r="H69" s="30"/>
      <c r="I69" s="31">
        <f t="shared" si="0"/>
        <v>9700</v>
      </c>
    </row>
    <row r="70" spans="1:9" s="1" customFormat="1" ht="15" thickBot="1" x14ac:dyDescent="0.4">
      <c r="A70" s="15">
        <v>61</v>
      </c>
      <c r="B70" s="337"/>
      <c r="C70" s="90">
        <v>43354</v>
      </c>
      <c r="D70" s="91">
        <v>830054076</v>
      </c>
      <c r="E70" s="92" t="str">
        <f>VLOOKUP(D70,[1]TERCEROS!$A$2:$C$4000,3,FALSE)</f>
        <v>FIDEICOMISOS SOCIEDAD FIDUCIARIA</v>
      </c>
      <c r="F70" s="86" t="s">
        <v>59</v>
      </c>
      <c r="G70" s="87">
        <v>9700</v>
      </c>
      <c r="H70" s="88"/>
      <c r="I70" s="89">
        <f t="shared" si="0"/>
        <v>9700</v>
      </c>
    </row>
    <row r="71" spans="1:9" s="1" customFormat="1" ht="15" thickBot="1" x14ac:dyDescent="0.4">
      <c r="A71" s="23">
        <v>62</v>
      </c>
      <c r="B71" s="149" t="s">
        <v>98</v>
      </c>
      <c r="C71" s="126">
        <v>43348</v>
      </c>
      <c r="D71" s="127">
        <v>800242586</v>
      </c>
      <c r="E71" s="145" t="str">
        <f>VLOOKUP(D71,[1]TERCEROS!$A$2:$C$4000,3,FALSE)</f>
        <v>CENTRAL DE DOTACIONES LTDA</v>
      </c>
      <c r="F71" s="128" t="s">
        <v>194</v>
      </c>
      <c r="G71" s="129">
        <v>44538</v>
      </c>
      <c r="H71" s="130">
        <f>+G71*19%</f>
        <v>8462.2199999999993</v>
      </c>
      <c r="I71" s="131">
        <f t="shared" si="0"/>
        <v>53000.22</v>
      </c>
    </row>
    <row r="72" spans="1:9" s="1" customFormat="1" ht="14.5" x14ac:dyDescent="0.35">
      <c r="A72" s="23">
        <v>63</v>
      </c>
      <c r="B72" s="340" t="s">
        <v>32</v>
      </c>
      <c r="C72" s="107">
        <v>43355</v>
      </c>
      <c r="D72" s="17">
        <v>5463640</v>
      </c>
      <c r="E72" s="18" t="str">
        <f>VLOOKUP(D72,[1]TERCEROS!$A$2:$C$4000,3,FALSE)</f>
        <v>JAIRO GANDUR ABUABARA</v>
      </c>
      <c r="F72" s="19" t="s">
        <v>34</v>
      </c>
      <c r="G72" s="20">
        <v>30000</v>
      </c>
      <c r="H72" s="21"/>
      <c r="I72" s="22">
        <f t="shared" si="0"/>
        <v>30000</v>
      </c>
    </row>
    <row r="73" spans="1:9" s="1" customFormat="1" ht="15" thickBot="1" x14ac:dyDescent="0.4">
      <c r="A73" s="23">
        <v>64</v>
      </c>
      <c r="B73" s="341"/>
      <c r="C73" s="132">
        <v>43354</v>
      </c>
      <c r="D73" s="91">
        <v>830054076</v>
      </c>
      <c r="E73" s="92" t="str">
        <f>VLOOKUP(D73,[1]TERCEROS!$A$2:$C$4000,3,FALSE)</f>
        <v>FIDEICOMISOS SOCIEDAD FIDUCIARIA</v>
      </c>
      <c r="F73" s="86" t="s">
        <v>59</v>
      </c>
      <c r="G73" s="87">
        <v>9700</v>
      </c>
      <c r="H73" s="88"/>
      <c r="I73" s="89">
        <f t="shared" si="0"/>
        <v>9700</v>
      </c>
    </row>
    <row r="74" spans="1:9" s="1" customFormat="1" ht="15" thickBot="1" x14ac:dyDescent="0.4">
      <c r="A74" s="23">
        <v>65</v>
      </c>
      <c r="B74" s="340" t="s">
        <v>98</v>
      </c>
      <c r="C74" s="107">
        <v>43356</v>
      </c>
      <c r="D74" s="17">
        <v>900515214</v>
      </c>
      <c r="E74" s="18" t="str">
        <f>VLOOKUP(D74,[1]TERCEROS!$A$2:$C$4000,3,FALSE)</f>
        <v>SPORTING COLOMBIA SAS</v>
      </c>
      <c r="F74" s="19" t="s">
        <v>195</v>
      </c>
      <c r="G74" s="20">
        <v>9800</v>
      </c>
      <c r="H74" s="21">
        <f>+G74*19%</f>
        <v>1862</v>
      </c>
      <c r="I74" s="22">
        <f t="shared" si="0"/>
        <v>11662</v>
      </c>
    </row>
    <row r="75" spans="1:9" s="1" customFormat="1" ht="15" thickBot="1" x14ac:dyDescent="0.4">
      <c r="A75" s="15">
        <v>66</v>
      </c>
      <c r="B75" s="346"/>
      <c r="C75" s="109">
        <v>43354</v>
      </c>
      <c r="D75" s="110">
        <v>860023369</v>
      </c>
      <c r="E75" s="111" t="str">
        <f>VLOOKUP(D75,[1]TERCEROS!$A$2:$C$4000,3,FALSE)</f>
        <v>LUIS EDUARDO CAICEDO S.A</v>
      </c>
      <c r="F75" s="112" t="s">
        <v>196</v>
      </c>
      <c r="G75" s="113">
        <v>174960</v>
      </c>
      <c r="H75" s="114">
        <f>+G75*19%</f>
        <v>33242.400000000001</v>
      </c>
      <c r="I75" s="115">
        <f t="shared" si="0"/>
        <v>208202.4</v>
      </c>
    </row>
    <row r="76" spans="1:9" s="1" customFormat="1" ht="24.5" thickBot="1" x14ac:dyDescent="0.4">
      <c r="A76" s="23">
        <v>67</v>
      </c>
      <c r="B76" s="150" t="s">
        <v>197</v>
      </c>
      <c r="C76" s="159">
        <v>43356</v>
      </c>
      <c r="D76" s="135">
        <v>79386978</v>
      </c>
      <c r="E76" s="136" t="str">
        <f>VLOOKUP(D76,[1]TERCEROS!$A$2:$C$4000,3,FALSE)</f>
        <v>PEDRO VICENTE RUIZ SOLANO</v>
      </c>
      <c r="F76" s="137" t="s">
        <v>198</v>
      </c>
      <c r="G76" s="138">
        <v>120900</v>
      </c>
      <c r="H76" s="139"/>
      <c r="I76" s="140">
        <f t="shared" si="0"/>
        <v>120900</v>
      </c>
    </row>
    <row r="77" spans="1:9" s="1" customFormat="1" ht="15" thickBot="1" x14ac:dyDescent="0.4">
      <c r="A77" s="23">
        <v>68</v>
      </c>
      <c r="B77" s="151" t="s">
        <v>98</v>
      </c>
      <c r="C77" s="95">
        <v>43348</v>
      </c>
      <c r="D77" s="96">
        <v>900525717</v>
      </c>
      <c r="E77" s="97" t="s">
        <v>199</v>
      </c>
      <c r="F77" s="98" t="s">
        <v>200</v>
      </c>
      <c r="G77" s="99">
        <v>134454</v>
      </c>
      <c r="H77" s="100">
        <f>+G77*19%</f>
        <v>25546.260000000002</v>
      </c>
      <c r="I77" s="101">
        <f t="shared" si="0"/>
        <v>160000.26</v>
      </c>
    </row>
    <row r="78" spans="1:9" s="1" customFormat="1" ht="14.5" x14ac:dyDescent="0.35">
      <c r="A78" s="23">
        <v>69</v>
      </c>
      <c r="B78" s="347" t="s">
        <v>32</v>
      </c>
      <c r="C78" s="107">
        <v>43357</v>
      </c>
      <c r="D78" s="17">
        <v>79265435</v>
      </c>
      <c r="E78" s="18" t="s">
        <v>201</v>
      </c>
      <c r="F78" s="19" t="s">
        <v>202</v>
      </c>
      <c r="G78" s="20">
        <v>36000</v>
      </c>
      <c r="H78" s="21"/>
      <c r="I78" s="22">
        <f t="shared" si="0"/>
        <v>36000</v>
      </c>
    </row>
    <row r="79" spans="1:9" s="1" customFormat="1" ht="24.5" thickBot="1" x14ac:dyDescent="0.4">
      <c r="A79" s="23">
        <v>70</v>
      </c>
      <c r="B79" s="326"/>
      <c r="C79" s="108">
        <v>43356</v>
      </c>
      <c r="D79" s="26">
        <v>800106774</v>
      </c>
      <c r="E79" s="27" t="str">
        <f>VLOOKUP(D79,[1]TERCEROS!$A$2:$C$4000,3,FALSE)</f>
        <v>MERCADOS ZAPATOCA</v>
      </c>
      <c r="F79" s="28" t="s">
        <v>203</v>
      </c>
      <c r="G79" s="29">
        <v>64328</v>
      </c>
      <c r="H79" s="30">
        <f>+G79*19%</f>
        <v>12222.32</v>
      </c>
      <c r="I79" s="31">
        <f t="shared" si="0"/>
        <v>76550.320000000007</v>
      </c>
    </row>
    <row r="80" spans="1:9" s="1" customFormat="1" ht="14.5" x14ac:dyDescent="0.35">
      <c r="A80" s="15">
        <v>71</v>
      </c>
      <c r="B80" s="326"/>
      <c r="C80" s="108">
        <v>43355</v>
      </c>
      <c r="D80" s="26">
        <v>811029132</v>
      </c>
      <c r="E80" s="27" t="s">
        <v>204</v>
      </c>
      <c r="F80" s="28" t="s">
        <v>205</v>
      </c>
      <c r="G80" s="29">
        <v>20760</v>
      </c>
      <c r="H80" s="30">
        <f>+G80*19%</f>
        <v>3944.4</v>
      </c>
      <c r="I80" s="31">
        <f t="shared" si="0"/>
        <v>24704.400000000001</v>
      </c>
    </row>
    <row r="81" spans="1:37" s="1" customFormat="1" ht="14.5" x14ac:dyDescent="0.35">
      <c r="A81" s="23">
        <v>72</v>
      </c>
      <c r="B81" s="326"/>
      <c r="C81" s="108">
        <v>43355</v>
      </c>
      <c r="D81" s="26">
        <v>900754508</v>
      </c>
      <c r="E81" s="27" t="s">
        <v>206</v>
      </c>
      <c r="F81" s="28" t="s">
        <v>207</v>
      </c>
      <c r="G81" s="29">
        <v>161900</v>
      </c>
      <c r="H81" s="30"/>
      <c r="I81" s="31">
        <f t="shared" si="0"/>
        <v>161900</v>
      </c>
    </row>
    <row r="82" spans="1:37" s="1" customFormat="1" ht="14.5" x14ac:dyDescent="0.35">
      <c r="A82" s="23">
        <v>73</v>
      </c>
      <c r="B82" s="326"/>
      <c r="C82" s="108">
        <v>43352</v>
      </c>
      <c r="D82" s="26">
        <v>900491889</v>
      </c>
      <c r="E82" s="27" t="str">
        <f>VLOOKUP(D82,[1]TERCEROS!$A$2:$C$4000,3,FALSE)</f>
        <v>EDS TERMINAL NEIVA</v>
      </c>
      <c r="F82" s="28" t="s">
        <v>215</v>
      </c>
      <c r="G82" s="29">
        <v>116200</v>
      </c>
      <c r="H82" s="30"/>
      <c r="I82" s="31">
        <f t="shared" si="0"/>
        <v>116200</v>
      </c>
    </row>
    <row r="83" spans="1:37" s="1" customFormat="1" ht="14.5" x14ac:dyDescent="0.35">
      <c r="A83" s="23">
        <v>74</v>
      </c>
      <c r="B83" s="326"/>
      <c r="C83" s="108">
        <v>43352</v>
      </c>
      <c r="D83" s="26">
        <v>22222222</v>
      </c>
      <c r="E83" s="27" t="s">
        <v>216</v>
      </c>
      <c r="F83" s="28" t="s">
        <v>48</v>
      </c>
      <c r="G83" s="29">
        <v>40000</v>
      </c>
      <c r="H83" s="30"/>
      <c r="I83" s="31">
        <f t="shared" si="0"/>
        <v>40000</v>
      </c>
    </row>
    <row r="84" spans="1:37" s="1" customFormat="1" ht="15" thickBot="1" x14ac:dyDescent="0.4">
      <c r="A84" s="23">
        <v>75</v>
      </c>
      <c r="B84" s="326"/>
      <c r="C84" s="108"/>
      <c r="D84" s="26"/>
      <c r="E84" s="27"/>
      <c r="F84" s="28"/>
      <c r="G84" s="29"/>
      <c r="H84" s="30"/>
      <c r="I84" s="31"/>
    </row>
    <row r="85" spans="1:37" s="1" customFormat="1" ht="14.5" x14ac:dyDescent="0.35">
      <c r="A85" s="15">
        <v>76</v>
      </c>
      <c r="B85" s="326"/>
      <c r="C85" s="108">
        <v>43354</v>
      </c>
      <c r="D85" s="26">
        <v>1026251235</v>
      </c>
      <c r="E85" s="27" t="s">
        <v>208</v>
      </c>
      <c r="F85" s="28" t="s">
        <v>209</v>
      </c>
      <c r="G85" s="29">
        <v>12000</v>
      </c>
      <c r="H85" s="30"/>
      <c r="I85" s="31">
        <f t="shared" si="0"/>
        <v>12000</v>
      </c>
    </row>
    <row r="86" spans="1:37" s="1" customFormat="1" ht="15" thickBot="1" x14ac:dyDescent="0.4">
      <c r="A86" s="23">
        <v>77</v>
      </c>
      <c r="B86" s="326"/>
      <c r="C86" s="109">
        <v>43353</v>
      </c>
      <c r="D86" s="110">
        <v>1039090799</v>
      </c>
      <c r="E86" s="111" t="str">
        <f>VLOOKUP(D86,[1]TERCEROS!$A$2:$C$4000,3,FALSE)</f>
        <v>NISPERUZA ARRIETA YAISLLETH JUDITH</v>
      </c>
      <c r="F86" s="112" t="s">
        <v>48</v>
      </c>
      <c r="G86" s="113">
        <v>100000</v>
      </c>
      <c r="H86" s="114"/>
      <c r="I86" s="115">
        <f t="shared" si="0"/>
        <v>100000</v>
      </c>
    </row>
    <row r="87" spans="1:37" s="1" customFormat="1" ht="18.75" customHeight="1" thickBot="1" x14ac:dyDescent="0.4">
      <c r="A87" s="23">
        <v>78</v>
      </c>
      <c r="B87" s="9" t="s">
        <v>115</v>
      </c>
      <c r="C87" s="152">
        <v>43356</v>
      </c>
      <c r="D87" s="153">
        <v>7792273</v>
      </c>
      <c r="E87" s="154" t="s">
        <v>210</v>
      </c>
      <c r="F87" s="155" t="s">
        <v>211</v>
      </c>
      <c r="G87" s="156">
        <v>200000</v>
      </c>
      <c r="H87" s="157"/>
      <c r="I87" s="158">
        <f t="shared" si="0"/>
        <v>200000</v>
      </c>
    </row>
    <row r="88" spans="1:37" s="2" customFormat="1" ht="15.75" customHeight="1" thickBot="1" x14ac:dyDescent="0.4">
      <c r="A88" s="335">
        <v>43346</v>
      </c>
      <c r="B88" s="329"/>
      <c r="C88" s="329"/>
      <c r="D88" s="329"/>
      <c r="E88" s="330"/>
      <c r="F88" s="93" t="s">
        <v>24</v>
      </c>
      <c r="G88" s="94">
        <f>SUM(G10:G87)</f>
        <v>2752500</v>
      </c>
      <c r="H88" s="94"/>
      <c r="I88" s="94">
        <f>SUM(I10:I87)</f>
        <v>2912629.7199999997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2" customFormat="1" ht="15" customHeight="1" x14ac:dyDescent="0.35">
      <c r="A89" s="300" t="s">
        <v>26</v>
      </c>
      <c r="B89" s="301"/>
      <c r="C89" s="301"/>
      <c r="D89" s="306" t="s">
        <v>58</v>
      </c>
      <c r="E89" s="307"/>
      <c r="F89" s="312"/>
      <c r="G89" s="315" t="s">
        <v>16</v>
      </c>
      <c r="H89" s="316"/>
      <c r="I89" s="35">
        <v>3000000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s="2" customFormat="1" ht="15" customHeight="1" x14ac:dyDescent="0.35">
      <c r="A90" s="302"/>
      <c r="B90" s="303"/>
      <c r="C90" s="303"/>
      <c r="D90" s="308"/>
      <c r="E90" s="309"/>
      <c r="F90" s="313"/>
      <c r="G90" s="317" t="s">
        <v>17</v>
      </c>
      <c r="H90" s="318"/>
      <c r="I90" s="36">
        <f>+I89-I88</f>
        <v>87370.280000000261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s="1" customFormat="1" ht="15.75" customHeight="1" thickBot="1" x14ac:dyDescent="0.4">
      <c r="A91" s="304"/>
      <c r="B91" s="305"/>
      <c r="C91" s="305"/>
      <c r="D91" s="310"/>
      <c r="E91" s="311"/>
      <c r="F91" s="314"/>
      <c r="G91" s="289" t="s">
        <v>5</v>
      </c>
      <c r="H91" s="290"/>
      <c r="I91" s="37">
        <f>+I89-I90</f>
        <v>2912629.7199999997</v>
      </c>
    </row>
    <row r="92" spans="1:37" s="1" customFormat="1" ht="15" thickBot="1" x14ac:dyDescent="0.4">
      <c r="A92" s="291" t="s">
        <v>25</v>
      </c>
      <c r="B92" s="292"/>
      <c r="C92" s="292"/>
      <c r="D92" s="293"/>
      <c r="E92" s="38"/>
      <c r="F92" s="38"/>
      <c r="G92" s="38"/>
      <c r="H92" s="38"/>
      <c r="I92" s="39"/>
    </row>
    <row r="93" spans="1:37" s="1" customFormat="1" ht="15" thickBot="1" x14ac:dyDescent="0.4">
      <c r="A93" s="40"/>
      <c r="B93" s="41" t="s">
        <v>6</v>
      </c>
      <c r="C93" s="42">
        <f>D109</f>
        <v>2200</v>
      </c>
      <c r="D93" s="39"/>
      <c r="E93" s="43">
        <f>C93+C96+I88</f>
        <v>3000029.7199999997</v>
      </c>
      <c r="F93" s="43"/>
      <c r="G93" s="38"/>
      <c r="H93" s="38"/>
      <c r="I93" s="44"/>
    </row>
    <row r="94" spans="1:37" s="1" customFormat="1" ht="15" thickBot="1" x14ac:dyDescent="0.4">
      <c r="A94" s="40"/>
      <c r="B94" s="41" t="s">
        <v>82</v>
      </c>
      <c r="C94" s="42">
        <f>100000-78400</f>
        <v>21600</v>
      </c>
      <c r="D94" s="39"/>
      <c r="E94" s="43"/>
      <c r="F94" s="43"/>
      <c r="G94" s="38"/>
      <c r="H94" s="38"/>
      <c r="I94" s="44"/>
    </row>
    <row r="95" spans="1:37" s="1" customFormat="1" ht="15" thickBot="1" x14ac:dyDescent="0.4">
      <c r="A95" s="40"/>
      <c r="B95" s="41" t="s">
        <v>117</v>
      </c>
      <c r="C95" s="45">
        <f>25600+38000</f>
        <v>63600</v>
      </c>
      <c r="D95" s="39"/>
      <c r="E95" s="43">
        <f>+E93-I89</f>
        <v>29.71999999973923</v>
      </c>
      <c r="F95" s="38"/>
      <c r="G95" s="38"/>
      <c r="H95" s="38"/>
      <c r="I95" s="39"/>
    </row>
    <row r="96" spans="1:37" s="1" customFormat="1" ht="15" thickBot="1" x14ac:dyDescent="0.4">
      <c r="A96" s="40"/>
      <c r="B96" s="47" t="s">
        <v>7</v>
      </c>
      <c r="C96" s="45">
        <f>SUM(C94:C95)</f>
        <v>85200</v>
      </c>
      <c r="D96" s="39"/>
      <c r="E96" s="48"/>
      <c r="F96" s="48"/>
      <c r="G96" s="48"/>
      <c r="H96" s="48"/>
      <c r="I96" s="49"/>
    </row>
    <row r="97" spans="1:37" s="1" customFormat="1" ht="15" thickBot="1" x14ac:dyDescent="0.4">
      <c r="A97" s="40"/>
      <c r="B97" s="50"/>
      <c r="C97" s="51"/>
      <c r="D97" s="39"/>
      <c r="E97" s="48"/>
      <c r="F97" s="48"/>
      <c r="G97" s="48"/>
      <c r="H97" s="48"/>
      <c r="I97" s="49"/>
    </row>
    <row r="98" spans="1:37" s="1" customFormat="1" ht="15" thickBot="1" x14ac:dyDescent="0.4">
      <c r="A98" s="40"/>
      <c r="B98" s="52"/>
      <c r="C98" s="53" t="s">
        <v>11</v>
      </c>
      <c r="D98" s="54" t="s">
        <v>4</v>
      </c>
      <c r="E98" s="38"/>
      <c r="F98" s="55"/>
      <c r="G98" s="38"/>
      <c r="H98" s="38"/>
      <c r="I98" s="39"/>
    </row>
    <row r="99" spans="1:37" s="1" customFormat="1" ht="14.5" x14ac:dyDescent="0.35">
      <c r="A99" s="40"/>
      <c r="B99" s="56"/>
      <c r="C99" s="57">
        <v>50000</v>
      </c>
      <c r="D99" s="58">
        <f t="shared" ref="D99:D108" si="1">+C99*B99</f>
        <v>0</v>
      </c>
      <c r="E99" s="148" t="s">
        <v>29</v>
      </c>
      <c r="F99" s="60" t="s">
        <v>27</v>
      </c>
      <c r="G99" s="294" t="s">
        <v>28</v>
      </c>
      <c r="H99" s="294"/>
      <c r="I99" s="295"/>
    </row>
    <row r="100" spans="1:37" s="5" customFormat="1" ht="15" customHeight="1" x14ac:dyDescent="0.35">
      <c r="A100" s="40"/>
      <c r="B100" s="62"/>
      <c r="C100" s="63">
        <v>20000</v>
      </c>
      <c r="D100" s="58">
        <f t="shared" si="1"/>
        <v>0</v>
      </c>
      <c r="E100" s="146" t="s">
        <v>19</v>
      </c>
      <c r="F100" s="146" t="s">
        <v>20</v>
      </c>
      <c r="G100" s="296" t="s">
        <v>21</v>
      </c>
      <c r="H100" s="296"/>
      <c r="I100" s="29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s="5" customFormat="1" ht="15" customHeight="1" x14ac:dyDescent="0.35">
      <c r="A101" s="40"/>
      <c r="B101" s="62"/>
      <c r="C101" s="63">
        <v>10000</v>
      </c>
      <c r="D101" s="58">
        <f t="shared" si="1"/>
        <v>0</v>
      </c>
      <c r="E101" s="147" t="s">
        <v>79</v>
      </c>
      <c r="F101" s="147" t="s">
        <v>80</v>
      </c>
      <c r="G101" s="298" t="s">
        <v>81</v>
      </c>
      <c r="H101" s="298"/>
      <c r="I101" s="29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s="5" customFormat="1" ht="15" customHeight="1" x14ac:dyDescent="0.35">
      <c r="A102" s="40"/>
      <c r="B102" s="62"/>
      <c r="C102" s="63">
        <v>5000</v>
      </c>
      <c r="D102" s="58">
        <f t="shared" si="1"/>
        <v>0</v>
      </c>
      <c r="E102" s="38" t="s">
        <v>0</v>
      </c>
      <c r="F102" s="38"/>
      <c r="G102" s="38"/>
      <c r="H102" s="38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s="5" customFormat="1" ht="15" customHeight="1" x14ac:dyDescent="0.35">
      <c r="A103" s="40"/>
      <c r="B103" s="62">
        <v>1</v>
      </c>
      <c r="C103" s="63">
        <v>2000</v>
      </c>
      <c r="D103" s="58">
        <f t="shared" si="1"/>
        <v>2000</v>
      </c>
      <c r="E103" s="38"/>
      <c r="F103" s="38" t="s">
        <v>8</v>
      </c>
      <c r="G103" s="38"/>
      <c r="H103" s="38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5" customFormat="1" ht="15" customHeight="1" x14ac:dyDescent="0.35">
      <c r="A104" s="40"/>
      <c r="B104" s="62"/>
      <c r="C104" s="63">
        <v>1000</v>
      </c>
      <c r="D104" s="58">
        <f t="shared" si="1"/>
        <v>0</v>
      </c>
      <c r="E104" s="38"/>
      <c r="F104" s="38"/>
      <c r="G104" s="38"/>
      <c r="H104" s="38"/>
      <c r="I104" s="3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s="1" customFormat="1" ht="15" customHeight="1" x14ac:dyDescent="0.35">
      <c r="A105" s="40"/>
      <c r="B105" s="62"/>
      <c r="C105" s="63">
        <v>500</v>
      </c>
      <c r="D105" s="58">
        <f t="shared" si="1"/>
        <v>0</v>
      </c>
      <c r="E105" s="38"/>
      <c r="F105" s="38"/>
      <c r="G105" s="38"/>
      <c r="H105" s="38"/>
      <c r="I105" s="39"/>
    </row>
    <row r="106" spans="1:37" s="1" customFormat="1" ht="15" customHeight="1" x14ac:dyDescent="0.35">
      <c r="A106" s="40"/>
      <c r="B106" s="62">
        <v>1</v>
      </c>
      <c r="C106" s="63">
        <v>200</v>
      </c>
      <c r="D106" s="58">
        <f t="shared" si="1"/>
        <v>200</v>
      </c>
      <c r="E106" s="38"/>
      <c r="F106" s="38"/>
      <c r="G106" s="38"/>
      <c r="H106" s="38"/>
      <c r="I106" s="39"/>
    </row>
    <row r="107" spans="1:37" s="1" customFormat="1" ht="15" customHeight="1" x14ac:dyDescent="0.35">
      <c r="A107" s="40"/>
      <c r="B107" s="62"/>
      <c r="C107" s="63">
        <v>100</v>
      </c>
      <c r="D107" s="58">
        <f>+C107*B107</f>
        <v>0</v>
      </c>
      <c r="E107" s="38"/>
      <c r="F107" s="38"/>
      <c r="G107" s="38"/>
      <c r="H107" s="38"/>
      <c r="I107" s="39"/>
    </row>
    <row r="108" spans="1:37" s="5" customFormat="1" ht="15" customHeight="1" thickBot="1" x14ac:dyDescent="0.4">
      <c r="A108" s="40"/>
      <c r="B108" s="68"/>
      <c r="C108" s="69">
        <v>50</v>
      </c>
      <c r="D108" s="58">
        <f t="shared" si="1"/>
        <v>0</v>
      </c>
      <c r="E108" s="38"/>
      <c r="F108" s="38"/>
      <c r="G108" s="38"/>
      <c r="H108" s="38"/>
      <c r="I108" s="3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s="1" customFormat="1" ht="15" customHeight="1" thickBot="1" x14ac:dyDescent="0.4">
      <c r="A109" s="40"/>
      <c r="B109" s="148"/>
      <c r="C109" s="70"/>
      <c r="D109" s="71">
        <f>SUM(D99:D108)</f>
        <v>2200</v>
      </c>
      <c r="E109" s="38"/>
      <c r="F109" s="38"/>
      <c r="G109" s="38"/>
      <c r="H109" s="38"/>
      <c r="I109" s="39"/>
    </row>
    <row r="110" spans="1:37" s="5" customFormat="1" ht="15" customHeight="1" thickBot="1" x14ac:dyDescent="0.4">
      <c r="A110" s="72"/>
      <c r="B110" s="73"/>
      <c r="C110" s="74"/>
      <c r="D110" s="75"/>
      <c r="E110" s="76"/>
      <c r="F110" s="76"/>
      <c r="G110" s="76"/>
      <c r="H110" s="76"/>
      <c r="I110" s="7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s="5" customFormat="1" ht="22.5" customHeight="1" x14ac:dyDescent="0.35">
      <c r="A111" s="1"/>
      <c r="B111"/>
      <c r="C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s="3" customFormat="1" ht="22.5" customHeight="1" x14ac:dyDescent="0.35">
      <c r="A112"/>
      <c r="B112"/>
      <c r="C112" s="6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 s="3" customFormat="1" ht="22.5" customHeight="1" x14ac:dyDescent="0.35">
      <c r="A113"/>
      <c r="B113"/>
      <c r="C113" s="6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 s="3" customFormat="1" ht="22.5" customHeight="1" x14ac:dyDescent="0.35">
      <c r="A114"/>
      <c r="B114"/>
      <c r="C114" s="6"/>
      <c r="D114" s="7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</sheetData>
  <mergeCells count="24">
    <mergeCell ref="G101:I101"/>
    <mergeCell ref="B10:B70"/>
    <mergeCell ref="B72:B73"/>
    <mergeCell ref="B74:B75"/>
    <mergeCell ref="B78:B86"/>
    <mergeCell ref="G89:H89"/>
    <mergeCell ref="G90:H90"/>
    <mergeCell ref="G91:H91"/>
    <mergeCell ref="A92:D92"/>
    <mergeCell ref="G99:I99"/>
    <mergeCell ref="G100:I100"/>
    <mergeCell ref="A88:E88"/>
    <mergeCell ref="A89:C91"/>
    <mergeCell ref="D89:E91"/>
    <mergeCell ref="F89:F91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0.25" right="0.25" top="0.75" bottom="0.75" header="0.3" footer="0.3"/>
  <pageSetup scale="5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3"/>
  <sheetViews>
    <sheetView showGridLines="0" workbookViewId="0">
      <selection activeCell="E23" sqref="E23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30.7265625" customWidth="1"/>
    <col min="7" max="7" width="20" customWidth="1"/>
    <col min="8" max="8" width="9" customWidth="1"/>
    <col min="9" max="9" width="12" customWidth="1"/>
    <col min="11" max="11" width="16.453125" hidden="1" customWidth="1"/>
  </cols>
  <sheetData>
    <row r="1" spans="1:37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37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37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37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37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37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37" s="1" customFormat="1" ht="15.75" customHeight="1" thickBot="1" x14ac:dyDescent="0.4">
      <c r="A7" s="319" t="s">
        <v>23</v>
      </c>
      <c r="B7" s="320"/>
      <c r="C7" s="321">
        <v>43362</v>
      </c>
      <c r="D7" s="321"/>
      <c r="E7" s="321"/>
      <c r="F7" s="321"/>
      <c r="G7" s="321"/>
      <c r="H7" s="321"/>
      <c r="I7" s="322"/>
    </row>
    <row r="8" spans="1:37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37" s="1" customFormat="1" ht="28.5" customHeight="1" thickBot="1" x14ac:dyDescent="0.4">
      <c r="A9" s="163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63" t="str">
        <f>IF(K14=1,"IVA","TRM")</f>
        <v>IVA</v>
      </c>
      <c r="I9" s="14" t="s">
        <v>4</v>
      </c>
    </row>
    <row r="10" spans="1:37" s="1" customFormat="1" ht="14.5" x14ac:dyDescent="0.35">
      <c r="A10" s="82">
        <v>1</v>
      </c>
      <c r="B10" s="340" t="s">
        <v>32</v>
      </c>
      <c r="C10" s="107">
        <v>43362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21"/>
      <c r="I10" s="22">
        <f>IF($K$14=1,G10+H10,G10*H10)</f>
        <v>9700</v>
      </c>
    </row>
    <row r="11" spans="1:37" s="1" customFormat="1" ht="15" thickBot="1" x14ac:dyDescent="0.4">
      <c r="A11" s="83">
        <v>2</v>
      </c>
      <c r="B11" s="341"/>
      <c r="C11" s="108">
        <v>43361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30"/>
      <c r="I11" s="31">
        <f>IF($K$14=1,G11+H11,G11*H11)</f>
        <v>9700</v>
      </c>
    </row>
    <row r="12" spans="1:37" s="1" customFormat="1" ht="15" thickBot="1" x14ac:dyDescent="0.4">
      <c r="A12" s="82">
        <v>3</v>
      </c>
      <c r="B12" s="341"/>
      <c r="C12" s="108">
        <v>43360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30"/>
      <c r="I12" s="31">
        <f t="shared" ref="I12:I15" si="0">IF($K$14=1,G12+H12,G12*H12)</f>
        <v>9700</v>
      </c>
    </row>
    <row r="13" spans="1:37" s="1" customFormat="1" ht="15" thickBot="1" x14ac:dyDescent="0.4">
      <c r="A13" s="82">
        <v>4</v>
      </c>
      <c r="B13" s="341"/>
      <c r="C13" s="108">
        <v>43356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30"/>
      <c r="I13" s="31">
        <f t="shared" si="0"/>
        <v>9700</v>
      </c>
    </row>
    <row r="14" spans="1:37" s="1" customFormat="1" ht="14.5" x14ac:dyDescent="0.35">
      <c r="A14" s="82">
        <v>5</v>
      </c>
      <c r="B14" s="341"/>
      <c r="C14" s="108">
        <v>43360</v>
      </c>
      <c r="D14" s="26">
        <v>860049240</v>
      </c>
      <c r="E14" s="27" t="str">
        <f>VLOOKUP(D14,[1]TERCEROS!$A$2:$C$4000,3,FALSE)</f>
        <v>LONGANIZA LTDA</v>
      </c>
      <c r="F14" s="28" t="s">
        <v>85</v>
      </c>
      <c r="G14" s="29">
        <v>212900</v>
      </c>
      <c r="H14" s="30"/>
      <c r="I14" s="31">
        <f t="shared" si="0"/>
        <v>212900</v>
      </c>
      <c r="K14" s="1">
        <v>1</v>
      </c>
    </row>
    <row r="15" spans="1:37" s="1" customFormat="1" ht="15" thickBot="1" x14ac:dyDescent="0.4">
      <c r="A15" s="83">
        <v>6</v>
      </c>
      <c r="B15" s="346"/>
      <c r="C15" s="108">
        <v>43359</v>
      </c>
      <c r="D15" s="26">
        <v>830060549</v>
      </c>
      <c r="E15" s="27" t="str">
        <f>VLOOKUP(D15,[1]TERCEROS!$A$2:$C$4000,3,FALSE)</f>
        <v>ALDICOM OPERADORES LTDA</v>
      </c>
      <c r="F15" s="28" t="s">
        <v>62</v>
      </c>
      <c r="G15" s="29">
        <v>50000</v>
      </c>
      <c r="H15" s="30"/>
      <c r="I15" s="31">
        <f t="shared" si="0"/>
        <v>50000</v>
      </c>
    </row>
    <row r="16" spans="1:37" s="2" customFormat="1" ht="15.75" customHeight="1" thickBot="1" x14ac:dyDescent="0.4">
      <c r="A16" s="342"/>
      <c r="B16" s="329"/>
      <c r="C16" s="329"/>
      <c r="D16" s="329"/>
      <c r="E16" s="330"/>
      <c r="F16" s="93" t="s">
        <v>24</v>
      </c>
      <c r="G16" s="94">
        <f>SUM(G10:G15)</f>
        <v>301700</v>
      </c>
      <c r="H16" s="94"/>
      <c r="I16" s="94">
        <f>SUM(I10:I15)</f>
        <v>301700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2" customFormat="1" ht="15" customHeight="1" x14ac:dyDescent="0.35">
      <c r="A17" s="300" t="s">
        <v>26</v>
      </c>
      <c r="B17" s="301"/>
      <c r="C17" s="301"/>
      <c r="D17" s="306" t="s">
        <v>82</v>
      </c>
      <c r="E17" s="307"/>
      <c r="F17" s="312"/>
      <c r="G17" s="315" t="s">
        <v>16</v>
      </c>
      <c r="H17" s="316"/>
      <c r="I17" s="35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2" customFormat="1" ht="15" customHeight="1" x14ac:dyDescent="0.35">
      <c r="A18" s="302"/>
      <c r="B18" s="303"/>
      <c r="C18" s="303"/>
      <c r="D18" s="308"/>
      <c r="E18" s="309"/>
      <c r="F18" s="313"/>
      <c r="G18" s="317" t="s">
        <v>17</v>
      </c>
      <c r="H18" s="318"/>
      <c r="I18" s="36">
        <f>+I17-I16</f>
        <v>-301700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1" customFormat="1" ht="15.75" customHeight="1" thickBot="1" x14ac:dyDescent="0.4">
      <c r="A19" s="304"/>
      <c r="B19" s="305"/>
      <c r="C19" s="305"/>
      <c r="D19" s="310"/>
      <c r="E19" s="311"/>
      <c r="F19" s="314"/>
      <c r="G19" s="289" t="s">
        <v>5</v>
      </c>
      <c r="H19" s="290"/>
      <c r="I19" s="37">
        <f>+I17-I18</f>
        <v>301700</v>
      </c>
    </row>
    <row r="20" spans="1:37" s="1" customFormat="1" ht="15" thickBot="1" x14ac:dyDescent="0.4">
      <c r="A20" s="291" t="s">
        <v>25</v>
      </c>
      <c r="B20" s="292"/>
      <c r="C20" s="292"/>
      <c r="D20" s="293"/>
      <c r="E20" s="38"/>
      <c r="F20" s="38"/>
      <c r="G20" s="38"/>
      <c r="H20" s="38"/>
      <c r="I20" s="39"/>
    </row>
    <row r="21" spans="1:37" s="1" customFormat="1" ht="15" thickBot="1" x14ac:dyDescent="0.4">
      <c r="A21" s="40"/>
      <c r="B21" s="41" t="s">
        <v>6</v>
      </c>
      <c r="C21" s="42">
        <f>D38</f>
        <v>0</v>
      </c>
      <c r="D21" s="39"/>
      <c r="E21" s="43">
        <f>C21+C25+I16</f>
        <v>301700</v>
      </c>
      <c r="F21" s="43"/>
      <c r="G21" s="38"/>
      <c r="H21" s="38"/>
      <c r="I21" s="44"/>
    </row>
    <row r="22" spans="1:37" s="1" customFormat="1" ht="15" thickBot="1" x14ac:dyDescent="0.4">
      <c r="A22" s="40"/>
      <c r="B22" s="41"/>
      <c r="C22" s="42"/>
      <c r="D22" s="39"/>
      <c r="E22" s="43"/>
      <c r="F22" s="43"/>
      <c r="G22" s="38"/>
      <c r="H22" s="38"/>
      <c r="I22" s="44"/>
    </row>
    <row r="23" spans="1:37" s="1" customFormat="1" ht="15" thickBot="1" x14ac:dyDescent="0.4">
      <c r="A23" s="40"/>
      <c r="B23" s="41"/>
      <c r="C23" s="45"/>
      <c r="D23" s="39"/>
      <c r="E23" s="43">
        <f>+E21-I17</f>
        <v>301700</v>
      </c>
      <c r="F23" s="38"/>
      <c r="G23" s="38"/>
      <c r="H23" s="38"/>
      <c r="I23" s="39"/>
    </row>
    <row r="24" spans="1:37" s="1" customFormat="1" ht="15" thickBot="1" x14ac:dyDescent="0.4">
      <c r="A24" s="40"/>
      <c r="B24" s="46"/>
      <c r="C24" s="45"/>
      <c r="D24" s="39"/>
      <c r="E24" s="43"/>
      <c r="F24" s="38"/>
      <c r="G24" s="38"/>
      <c r="H24" s="38"/>
      <c r="I24" s="39"/>
    </row>
    <row r="25" spans="1:37" s="1" customFormat="1" ht="15" thickBot="1" x14ac:dyDescent="0.4">
      <c r="A25" s="40"/>
      <c r="B25" s="47" t="s">
        <v>7</v>
      </c>
      <c r="C25" s="45">
        <f>SUM(C22:C24)</f>
        <v>0</v>
      </c>
      <c r="D25" s="39"/>
      <c r="E25" s="48"/>
      <c r="F25" s="48"/>
      <c r="G25" s="48"/>
      <c r="H25" s="48"/>
      <c r="I25" s="49"/>
    </row>
    <row r="26" spans="1:37" s="1" customFormat="1" ht="15" thickBot="1" x14ac:dyDescent="0.4">
      <c r="A26" s="40"/>
      <c r="B26" s="50"/>
      <c r="C26" s="51"/>
      <c r="D26" s="39"/>
      <c r="E26" s="48"/>
      <c r="F26" s="48"/>
      <c r="G26" s="48"/>
      <c r="H26" s="48"/>
      <c r="I26" s="49"/>
    </row>
    <row r="27" spans="1:37" s="1" customFormat="1" ht="15" thickBot="1" x14ac:dyDescent="0.4">
      <c r="A27" s="40"/>
      <c r="B27" s="52"/>
      <c r="C27" s="53" t="s">
        <v>11</v>
      </c>
      <c r="D27" s="54" t="s">
        <v>4</v>
      </c>
      <c r="E27" s="38"/>
      <c r="F27" s="55"/>
      <c r="G27" s="38"/>
      <c r="H27" s="38"/>
      <c r="I27" s="39"/>
    </row>
    <row r="28" spans="1:37" s="1" customFormat="1" ht="14.5" x14ac:dyDescent="0.35">
      <c r="A28" s="40"/>
      <c r="B28" s="56"/>
      <c r="C28" s="57">
        <v>50000</v>
      </c>
      <c r="D28" s="58">
        <f t="shared" ref="D28:D37" si="1">+C28*B28</f>
        <v>0</v>
      </c>
      <c r="E28" s="162" t="s">
        <v>29</v>
      </c>
      <c r="F28" s="60" t="s">
        <v>27</v>
      </c>
      <c r="G28" s="294" t="s">
        <v>28</v>
      </c>
      <c r="H28" s="294"/>
      <c r="I28" s="295"/>
    </row>
    <row r="29" spans="1:37" s="5" customFormat="1" ht="15" customHeight="1" x14ac:dyDescent="0.35">
      <c r="A29" s="40"/>
      <c r="B29" s="62"/>
      <c r="C29" s="63">
        <v>20000</v>
      </c>
      <c r="D29" s="58">
        <f t="shared" si="1"/>
        <v>0</v>
      </c>
      <c r="E29" s="160" t="s">
        <v>19</v>
      </c>
      <c r="F29" s="160" t="s">
        <v>20</v>
      </c>
      <c r="G29" s="296" t="s">
        <v>21</v>
      </c>
      <c r="H29" s="296"/>
      <c r="I29" s="29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s="5" customFormat="1" ht="15" customHeight="1" x14ac:dyDescent="0.35">
      <c r="A30" s="40"/>
      <c r="B30" s="62"/>
      <c r="C30" s="63">
        <v>10000</v>
      </c>
      <c r="D30" s="58">
        <f t="shared" si="1"/>
        <v>0</v>
      </c>
      <c r="E30" s="161" t="s">
        <v>86</v>
      </c>
      <c r="F30" s="161" t="s">
        <v>87</v>
      </c>
      <c r="G30" s="298" t="s">
        <v>88</v>
      </c>
      <c r="H30" s="298"/>
      <c r="I30" s="29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s="5" customFormat="1" ht="15" customHeight="1" x14ac:dyDescent="0.35">
      <c r="A31" s="40"/>
      <c r="B31" s="62"/>
      <c r="C31" s="63">
        <v>5000</v>
      </c>
      <c r="D31" s="58">
        <f t="shared" si="1"/>
        <v>0</v>
      </c>
      <c r="E31" s="38" t="s">
        <v>0</v>
      </c>
      <c r="F31" s="38"/>
      <c r="G31" s="38"/>
      <c r="H31" s="38"/>
      <c r="I31" s="3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s="5" customFormat="1" ht="15" customHeight="1" x14ac:dyDescent="0.35">
      <c r="A32" s="40"/>
      <c r="B32" s="62"/>
      <c r="C32" s="63">
        <v>2000</v>
      </c>
      <c r="D32" s="58">
        <f t="shared" si="1"/>
        <v>0</v>
      </c>
      <c r="E32" s="38"/>
      <c r="F32" s="38" t="s">
        <v>8</v>
      </c>
      <c r="G32" s="38"/>
      <c r="H32" s="38"/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s="5" customFormat="1" ht="15" customHeight="1" x14ac:dyDescent="0.35">
      <c r="A33" s="40"/>
      <c r="B33" s="62"/>
      <c r="C33" s="63">
        <v>1000</v>
      </c>
      <c r="D33" s="58">
        <f t="shared" si="1"/>
        <v>0</v>
      </c>
      <c r="E33" s="38"/>
      <c r="F33" s="38"/>
      <c r="G33" s="38"/>
      <c r="H33" s="38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s="1" customFormat="1" ht="15" customHeight="1" x14ac:dyDescent="0.35">
      <c r="A34" s="40"/>
      <c r="B34" s="62"/>
      <c r="C34" s="63">
        <v>500</v>
      </c>
      <c r="D34" s="58">
        <f t="shared" si="1"/>
        <v>0</v>
      </c>
      <c r="E34" s="38"/>
      <c r="F34" s="38"/>
      <c r="G34" s="38"/>
      <c r="H34" s="38"/>
      <c r="I34" s="39"/>
    </row>
    <row r="35" spans="1:37" s="1" customFormat="1" ht="15" customHeight="1" x14ac:dyDescent="0.35">
      <c r="A35" s="40"/>
      <c r="B35" s="62"/>
      <c r="C35" s="63">
        <v>200</v>
      </c>
      <c r="D35" s="58">
        <f t="shared" si="1"/>
        <v>0</v>
      </c>
      <c r="E35" s="38"/>
      <c r="F35" s="38"/>
      <c r="G35" s="38"/>
      <c r="H35" s="38"/>
      <c r="I35" s="39"/>
    </row>
    <row r="36" spans="1:37" s="1" customFormat="1" ht="15" customHeight="1" x14ac:dyDescent="0.35">
      <c r="A36" s="40"/>
      <c r="B36" s="62"/>
      <c r="C36" s="63">
        <v>100</v>
      </c>
      <c r="D36" s="58">
        <f>+C36*B36</f>
        <v>0</v>
      </c>
      <c r="E36" s="38"/>
      <c r="F36" s="38"/>
      <c r="G36" s="38"/>
      <c r="H36" s="38"/>
      <c r="I36" s="39"/>
    </row>
    <row r="37" spans="1:37" s="5" customFormat="1" ht="15" customHeight="1" thickBot="1" x14ac:dyDescent="0.4">
      <c r="A37" s="40"/>
      <c r="B37" s="68"/>
      <c r="C37" s="69">
        <v>50</v>
      </c>
      <c r="D37" s="58">
        <f t="shared" si="1"/>
        <v>0</v>
      </c>
      <c r="E37" s="38"/>
      <c r="F37" s="38"/>
      <c r="G37" s="38"/>
      <c r="H37" s="38"/>
      <c r="I37" s="3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s="1" customFormat="1" ht="15" customHeight="1" thickBot="1" x14ac:dyDescent="0.4">
      <c r="A38" s="40"/>
      <c r="B38" s="162"/>
      <c r="C38" s="70"/>
      <c r="D38" s="71">
        <f>SUM(D28:D37)</f>
        <v>0</v>
      </c>
      <c r="E38" s="38"/>
      <c r="F38" s="38"/>
      <c r="G38" s="38"/>
      <c r="H38" s="38"/>
      <c r="I38" s="39"/>
    </row>
    <row r="39" spans="1:37" s="5" customFormat="1" ht="15" customHeight="1" thickBot="1" x14ac:dyDescent="0.4">
      <c r="A39" s="72"/>
      <c r="B39" s="73"/>
      <c r="C39" s="74"/>
      <c r="D39" s="75"/>
      <c r="E39" s="76"/>
      <c r="F39" s="76"/>
      <c r="G39" s="76"/>
      <c r="H39" s="76"/>
      <c r="I39" s="7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s="5" customFormat="1" ht="22.5" customHeight="1" x14ac:dyDescent="0.35">
      <c r="A40" s="1"/>
      <c r="B40"/>
      <c r="C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s="3" customFormat="1" ht="22.5" customHeight="1" x14ac:dyDescent="0.35">
      <c r="A41"/>
      <c r="B41"/>
      <c r="C41" s="6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37" s="3" customFormat="1" ht="22.5" customHeight="1" x14ac:dyDescent="0.35">
      <c r="A42"/>
      <c r="B42"/>
      <c r="C42" s="6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1:37" s="3" customFormat="1" ht="22.5" customHeight="1" x14ac:dyDescent="0.35">
      <c r="A43"/>
      <c r="B43"/>
      <c r="C43" s="6"/>
      <c r="D43" s="7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</sheetData>
  <mergeCells count="21">
    <mergeCell ref="G19:H19"/>
    <mergeCell ref="A20:D20"/>
    <mergeCell ref="G28:I28"/>
    <mergeCell ref="G29:I29"/>
    <mergeCell ref="G30:I30"/>
    <mergeCell ref="A17:C19"/>
    <mergeCell ref="D17:E19"/>
    <mergeCell ref="F17:F19"/>
    <mergeCell ref="G17:H17"/>
    <mergeCell ref="G18:H18"/>
    <mergeCell ref="A7:B7"/>
    <mergeCell ref="C7:I7"/>
    <mergeCell ref="A8:I8"/>
    <mergeCell ref="B10:B15"/>
    <mergeCell ref="A16:E16"/>
    <mergeCell ref="A1:B6"/>
    <mergeCell ref="C1:F3"/>
    <mergeCell ref="G1:I2"/>
    <mergeCell ref="G3:I4"/>
    <mergeCell ref="C4:F6"/>
    <mergeCell ref="G5:I6"/>
  </mergeCells>
  <pageMargins left="0.70866141732283472" right="0.32" top="0.44" bottom="0.57999999999999996" header="0.31496062992125984" footer="0.31496062992125984"/>
  <pageSetup scale="5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99"/>
  <sheetViews>
    <sheetView showGridLines="0" topLeftCell="A34" workbookViewId="0">
      <selection activeCell="I95" sqref="A1:I95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43367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68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68" t="str">
        <f>IF(K14=1,"IVA","TRM")</f>
        <v>IVA</v>
      </c>
      <c r="I9" s="14" t="s">
        <v>4</v>
      </c>
    </row>
    <row r="10" spans="1:12" s="1" customFormat="1" ht="15" thickBot="1" x14ac:dyDescent="0.4">
      <c r="A10" s="15">
        <v>1</v>
      </c>
      <c r="B10" s="349" t="s">
        <v>32</v>
      </c>
      <c r="C10" s="107">
        <v>43349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21">
        <v>0</v>
      </c>
      <c r="I10" s="22">
        <f>IF($K$14=1,G10+H10,G10*H10)</f>
        <v>9700</v>
      </c>
    </row>
    <row r="11" spans="1:12" s="1" customFormat="1" ht="15" thickBot="1" x14ac:dyDescent="0.4">
      <c r="A11" s="15">
        <v>2</v>
      </c>
      <c r="B11" s="350"/>
      <c r="C11" s="108">
        <v>43354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30">
        <v>0</v>
      </c>
      <c r="I11" s="31">
        <f>IF($K$14=1,G11+H11,G11*H11)</f>
        <v>9700</v>
      </c>
    </row>
    <row r="12" spans="1:12" s="1" customFormat="1" ht="15" thickBot="1" x14ac:dyDescent="0.4">
      <c r="A12" s="15">
        <v>3</v>
      </c>
      <c r="B12" s="350"/>
      <c r="C12" s="108">
        <v>43356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30">
        <v>0</v>
      </c>
      <c r="I12" s="31">
        <f t="shared" ref="I12:I72" si="0">IF($K$14=1,G12+H12,G12*H12)</f>
        <v>9700</v>
      </c>
    </row>
    <row r="13" spans="1:12" s="1" customFormat="1" ht="15" thickBot="1" x14ac:dyDescent="0.4">
      <c r="A13" s="15">
        <v>4</v>
      </c>
      <c r="B13" s="350"/>
      <c r="C13" s="108">
        <v>43350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30">
        <v>0</v>
      </c>
      <c r="I13" s="31">
        <f t="shared" si="0"/>
        <v>9700</v>
      </c>
    </row>
    <row r="14" spans="1:12" s="1" customFormat="1" ht="15" thickBot="1" x14ac:dyDescent="0.4">
      <c r="A14" s="15">
        <v>5</v>
      </c>
      <c r="B14" s="350"/>
      <c r="C14" s="108">
        <v>43356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30">
        <v>0</v>
      </c>
      <c r="I14" s="31">
        <f t="shared" si="0"/>
        <v>9700</v>
      </c>
      <c r="K14" s="1">
        <v>1</v>
      </c>
    </row>
    <row r="15" spans="1:12" s="1" customFormat="1" ht="15" thickBot="1" x14ac:dyDescent="0.4">
      <c r="A15" s="15">
        <v>6</v>
      </c>
      <c r="B15" s="350"/>
      <c r="C15" s="108">
        <v>43361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30">
        <v>0</v>
      </c>
      <c r="I15" s="31">
        <f t="shared" si="0"/>
        <v>9700</v>
      </c>
    </row>
    <row r="16" spans="1:12" s="1" customFormat="1" ht="15" thickBot="1" x14ac:dyDescent="0.4">
      <c r="A16" s="15">
        <v>7</v>
      </c>
      <c r="B16" s="350"/>
      <c r="C16" s="108">
        <v>43357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30">
        <v>0</v>
      </c>
      <c r="I16" s="31">
        <f t="shared" si="0"/>
        <v>9700</v>
      </c>
    </row>
    <row r="17" spans="1:9" s="1" customFormat="1" ht="15" thickBot="1" x14ac:dyDescent="0.4">
      <c r="A17" s="15">
        <v>8</v>
      </c>
      <c r="B17" s="350"/>
      <c r="C17" s="108">
        <v>43357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30">
        <v>0</v>
      </c>
      <c r="I17" s="31">
        <f t="shared" si="0"/>
        <v>9700</v>
      </c>
    </row>
    <row r="18" spans="1:9" s="1" customFormat="1" ht="15" thickBot="1" x14ac:dyDescent="0.4">
      <c r="A18" s="15">
        <v>9</v>
      </c>
      <c r="B18" s="350"/>
      <c r="C18" s="108">
        <v>43360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30">
        <v>0</v>
      </c>
      <c r="I18" s="31">
        <f t="shared" si="0"/>
        <v>9700</v>
      </c>
    </row>
    <row r="19" spans="1:9" s="1" customFormat="1" ht="15" thickBot="1" x14ac:dyDescent="0.4">
      <c r="A19" s="15">
        <v>10</v>
      </c>
      <c r="B19" s="350"/>
      <c r="C19" s="108">
        <v>43360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30">
        <v>0</v>
      </c>
      <c r="I19" s="31">
        <f t="shared" si="0"/>
        <v>9700</v>
      </c>
    </row>
    <row r="20" spans="1:9" s="1" customFormat="1" ht="15" thickBot="1" x14ac:dyDescent="0.4">
      <c r="A20" s="15">
        <v>11</v>
      </c>
      <c r="B20" s="350"/>
      <c r="C20" s="108">
        <v>43361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30">
        <v>0</v>
      </c>
      <c r="I20" s="31">
        <f t="shared" si="0"/>
        <v>9700</v>
      </c>
    </row>
    <row r="21" spans="1:9" s="1" customFormat="1" ht="15" thickBot="1" x14ac:dyDescent="0.4">
      <c r="A21" s="15">
        <v>12</v>
      </c>
      <c r="B21" s="350"/>
      <c r="C21" s="108">
        <v>43353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30">
        <v>0</v>
      </c>
      <c r="I21" s="31">
        <f t="shared" si="0"/>
        <v>9700</v>
      </c>
    </row>
    <row r="22" spans="1:9" s="1" customFormat="1" ht="15" thickBot="1" x14ac:dyDescent="0.4">
      <c r="A22" s="15">
        <v>13</v>
      </c>
      <c r="B22" s="350"/>
      <c r="C22" s="108">
        <v>43351</v>
      </c>
      <c r="D22" s="26">
        <v>830054076</v>
      </c>
      <c r="E22" s="27" t="str">
        <f>VLOOKUP(D22,[1]TERCEROS!$A$2:$C$4000,3,FALSE)</f>
        <v>FIDEICOMISOS SOCIEDAD FIDUCIARIA</v>
      </c>
      <c r="F22" s="28" t="s">
        <v>59</v>
      </c>
      <c r="G22" s="29">
        <v>9700</v>
      </c>
      <c r="H22" s="30">
        <v>0</v>
      </c>
      <c r="I22" s="31">
        <f t="shared" si="0"/>
        <v>9700</v>
      </c>
    </row>
    <row r="23" spans="1:9" s="1" customFormat="1" ht="15" thickBot="1" x14ac:dyDescent="0.4">
      <c r="A23" s="15">
        <v>14</v>
      </c>
      <c r="B23" s="350"/>
      <c r="C23" s="108">
        <v>43360</v>
      </c>
      <c r="D23" s="26">
        <v>830054539</v>
      </c>
      <c r="E23" s="27" t="str">
        <f>VLOOKUP(D23,[1]TERCEROS!$A$2:$C$4000,3,FALSE)</f>
        <v>PATRIMONIOS AUTONOMOS FIDUCIARIA BANCOLOMBIA S A</v>
      </c>
      <c r="F23" s="28" t="s">
        <v>59</v>
      </c>
      <c r="G23" s="29">
        <v>8400</v>
      </c>
      <c r="H23" s="30">
        <v>0</v>
      </c>
      <c r="I23" s="31">
        <f t="shared" si="0"/>
        <v>8400</v>
      </c>
    </row>
    <row r="24" spans="1:9" s="1" customFormat="1" ht="15" thickBot="1" x14ac:dyDescent="0.4">
      <c r="A24" s="15">
        <v>15</v>
      </c>
      <c r="B24" s="350"/>
      <c r="C24" s="108">
        <v>43360</v>
      </c>
      <c r="D24" s="26">
        <v>830052998</v>
      </c>
      <c r="E24" s="27" t="str">
        <f>VLOOKUP(D24,[1]TERCEROS!$A$2:$C$4000,3,FALSE)</f>
        <v>FIDEICOMISOS BBVA ASSET MANAGEMENT</v>
      </c>
      <c r="F24" s="28" t="s">
        <v>59</v>
      </c>
      <c r="G24" s="29">
        <v>7800</v>
      </c>
      <c r="H24" s="30">
        <v>0</v>
      </c>
      <c r="I24" s="31">
        <f t="shared" si="0"/>
        <v>7800</v>
      </c>
    </row>
    <row r="25" spans="1:9" s="1" customFormat="1" ht="15" thickBot="1" x14ac:dyDescent="0.4">
      <c r="A25" s="15">
        <v>16</v>
      </c>
      <c r="B25" s="350"/>
      <c r="C25" s="108">
        <v>43360</v>
      </c>
      <c r="D25" s="26">
        <v>830052998</v>
      </c>
      <c r="E25" s="27" t="str">
        <f>VLOOKUP(D25,[1]TERCEROS!$A$2:$C$4000,3,FALSE)</f>
        <v>FIDEICOMISOS BBVA ASSET MANAGEMENT</v>
      </c>
      <c r="F25" s="28" t="s">
        <v>59</v>
      </c>
      <c r="G25" s="29">
        <v>7800</v>
      </c>
      <c r="H25" s="30">
        <v>0</v>
      </c>
      <c r="I25" s="31">
        <f t="shared" si="0"/>
        <v>7800</v>
      </c>
    </row>
    <row r="26" spans="1:9" s="1" customFormat="1" ht="15" thickBot="1" x14ac:dyDescent="0.4">
      <c r="A26" s="15">
        <v>17</v>
      </c>
      <c r="B26" s="350"/>
      <c r="C26" s="108">
        <v>43360</v>
      </c>
      <c r="D26" s="26">
        <v>830052998</v>
      </c>
      <c r="E26" s="27" t="str">
        <f>VLOOKUP(D26,[1]TERCEROS!$A$2:$C$4000,3,FALSE)</f>
        <v>FIDEICOMISOS BBVA ASSET MANAGEMENT</v>
      </c>
      <c r="F26" s="28" t="s">
        <v>59</v>
      </c>
      <c r="G26" s="29">
        <v>7800</v>
      </c>
      <c r="H26" s="30">
        <v>0</v>
      </c>
      <c r="I26" s="31">
        <f t="shared" si="0"/>
        <v>7800</v>
      </c>
    </row>
    <row r="27" spans="1:9" s="1" customFormat="1" ht="15" thickBot="1" x14ac:dyDescent="0.4">
      <c r="A27" s="15">
        <v>18</v>
      </c>
      <c r="B27" s="350"/>
      <c r="C27" s="108">
        <v>43360</v>
      </c>
      <c r="D27" s="26">
        <v>830052998</v>
      </c>
      <c r="E27" s="27" t="str">
        <f>VLOOKUP(D27,[1]TERCEROS!$A$2:$C$4000,3,FALSE)</f>
        <v>FIDEICOMISOS BBVA ASSET MANAGEMENT</v>
      </c>
      <c r="F27" s="28" t="s">
        <v>59</v>
      </c>
      <c r="G27" s="29">
        <v>7800</v>
      </c>
      <c r="H27" s="30">
        <v>0</v>
      </c>
      <c r="I27" s="31">
        <f t="shared" si="0"/>
        <v>7800</v>
      </c>
    </row>
    <row r="28" spans="1:9" s="1" customFormat="1" ht="15" thickBot="1" x14ac:dyDescent="0.4">
      <c r="A28" s="15">
        <v>19</v>
      </c>
      <c r="B28" s="350"/>
      <c r="C28" s="108">
        <v>43360</v>
      </c>
      <c r="D28" s="26">
        <v>830054076</v>
      </c>
      <c r="E28" s="27" t="str">
        <f>VLOOKUP(D28,[1]TERCEROS!$A$2:$C$4000,3,FALSE)</f>
        <v>FIDEICOMISOS SOCIEDAD FIDUCIARIA</v>
      </c>
      <c r="F28" s="28" t="s">
        <v>59</v>
      </c>
      <c r="G28" s="29">
        <v>9700</v>
      </c>
      <c r="H28" s="30">
        <v>0</v>
      </c>
      <c r="I28" s="31">
        <f t="shared" si="0"/>
        <v>9700</v>
      </c>
    </row>
    <row r="29" spans="1:9" s="1" customFormat="1" ht="15" thickBot="1" x14ac:dyDescent="0.4">
      <c r="A29" s="15">
        <v>20</v>
      </c>
      <c r="B29" s="350"/>
      <c r="C29" s="108">
        <v>43357</v>
      </c>
      <c r="D29" s="26">
        <v>1072655064</v>
      </c>
      <c r="E29" s="27" t="s">
        <v>217</v>
      </c>
      <c r="F29" s="28" t="s">
        <v>68</v>
      </c>
      <c r="G29" s="29">
        <v>25000</v>
      </c>
      <c r="H29" s="30">
        <v>0</v>
      </c>
      <c r="I29" s="31">
        <f t="shared" si="0"/>
        <v>25000</v>
      </c>
    </row>
    <row r="30" spans="1:9" s="1" customFormat="1" ht="15" thickBot="1" x14ac:dyDescent="0.4">
      <c r="A30" s="15">
        <v>21</v>
      </c>
      <c r="B30" s="350"/>
      <c r="C30" s="108">
        <v>43357</v>
      </c>
      <c r="D30" s="26">
        <v>222222222</v>
      </c>
      <c r="E30" s="27" t="str">
        <f>VLOOKUP(D30,[1]TERCEROS!$A$2:$C$4000,3,FALSE)</f>
        <v>CUANTIAS MINIMAS</v>
      </c>
      <c r="F30" s="28" t="s">
        <v>218</v>
      </c>
      <c r="G30" s="29">
        <v>23000</v>
      </c>
      <c r="H30" s="30">
        <v>0</v>
      </c>
      <c r="I30" s="31">
        <f t="shared" si="0"/>
        <v>23000</v>
      </c>
    </row>
    <row r="31" spans="1:9" s="1" customFormat="1" ht="15" thickBot="1" x14ac:dyDescent="0.4">
      <c r="A31" s="15">
        <v>22</v>
      </c>
      <c r="B31" s="350"/>
      <c r="C31" s="108">
        <v>43357</v>
      </c>
      <c r="D31" s="26">
        <v>900491889</v>
      </c>
      <c r="E31" s="27" t="str">
        <f>VLOOKUP(D31,[1]TERCEROS!$A$2:$C$4000,3,FALSE)</f>
        <v>EDS TERMINAL NEIVA</v>
      </c>
      <c r="F31" s="28" t="s">
        <v>141</v>
      </c>
      <c r="G31" s="29">
        <v>11000</v>
      </c>
      <c r="H31" s="30">
        <v>0</v>
      </c>
      <c r="I31" s="31">
        <f t="shared" si="0"/>
        <v>11000</v>
      </c>
    </row>
    <row r="32" spans="1:9" s="1" customFormat="1" ht="15" thickBot="1" x14ac:dyDescent="0.4">
      <c r="A32" s="15">
        <v>23</v>
      </c>
      <c r="B32" s="350"/>
      <c r="C32" s="108">
        <v>43357</v>
      </c>
      <c r="D32" s="26">
        <v>900491889</v>
      </c>
      <c r="E32" s="27" t="str">
        <f>VLOOKUP(D32,[1]TERCEROS!$A$2:$C$4000,3,FALSE)</f>
        <v>EDS TERMINAL NEIVA</v>
      </c>
      <c r="F32" s="28" t="s">
        <v>141</v>
      </c>
      <c r="G32" s="29">
        <v>7200</v>
      </c>
      <c r="H32" s="30">
        <v>0</v>
      </c>
      <c r="I32" s="31">
        <f t="shared" si="0"/>
        <v>7200</v>
      </c>
    </row>
    <row r="33" spans="1:9" s="1" customFormat="1" ht="15" thickBot="1" x14ac:dyDescent="0.4">
      <c r="A33" s="15">
        <v>24</v>
      </c>
      <c r="B33" s="350"/>
      <c r="C33" s="108">
        <v>43355</v>
      </c>
      <c r="D33" s="26">
        <v>830054076</v>
      </c>
      <c r="E33" s="27" t="str">
        <f>VLOOKUP(D33,[1]TERCEROS!$A$2:$C$4000,3,FALSE)</f>
        <v>FIDEICOMISOS SOCIEDAD FIDUCIARIA</v>
      </c>
      <c r="F33" s="28" t="s">
        <v>59</v>
      </c>
      <c r="G33" s="29">
        <v>9700</v>
      </c>
      <c r="H33" s="30">
        <v>0</v>
      </c>
      <c r="I33" s="31">
        <f t="shared" si="0"/>
        <v>9700</v>
      </c>
    </row>
    <row r="34" spans="1:9" s="1" customFormat="1" ht="15" thickBot="1" x14ac:dyDescent="0.4">
      <c r="A34" s="15">
        <v>25</v>
      </c>
      <c r="B34" s="350"/>
      <c r="C34" s="108">
        <v>43363</v>
      </c>
      <c r="D34" s="26">
        <v>830054076</v>
      </c>
      <c r="E34" s="27" t="str">
        <f>VLOOKUP(D34,[1]TERCEROS!$A$2:$C$4000,3,FALSE)</f>
        <v>FIDEICOMISOS SOCIEDAD FIDUCIARIA</v>
      </c>
      <c r="F34" s="28" t="s">
        <v>59</v>
      </c>
      <c r="G34" s="29">
        <v>9700</v>
      </c>
      <c r="H34" s="30">
        <v>0</v>
      </c>
      <c r="I34" s="31">
        <f t="shared" si="0"/>
        <v>9700</v>
      </c>
    </row>
    <row r="35" spans="1:9" s="1" customFormat="1" ht="15" thickBot="1" x14ac:dyDescent="0.4">
      <c r="A35" s="15">
        <v>26</v>
      </c>
      <c r="B35" s="350"/>
      <c r="C35" s="108">
        <v>43355</v>
      </c>
      <c r="D35" s="26">
        <v>830054076</v>
      </c>
      <c r="E35" s="27" t="str">
        <f>VLOOKUP(D35,[1]TERCEROS!$A$2:$C$4000,3,FALSE)</f>
        <v>FIDEICOMISOS SOCIEDAD FIDUCIARIA</v>
      </c>
      <c r="F35" s="28" t="s">
        <v>59</v>
      </c>
      <c r="G35" s="29">
        <v>9700</v>
      </c>
      <c r="H35" s="30">
        <v>0</v>
      </c>
      <c r="I35" s="31">
        <f t="shared" si="0"/>
        <v>9700</v>
      </c>
    </row>
    <row r="36" spans="1:9" s="1" customFormat="1" ht="15" thickBot="1" x14ac:dyDescent="0.4">
      <c r="A36" s="15">
        <v>27</v>
      </c>
      <c r="B36" s="350"/>
      <c r="C36" s="108">
        <v>43360</v>
      </c>
      <c r="D36" s="26">
        <v>1049618359</v>
      </c>
      <c r="E36" s="27" t="s">
        <v>219</v>
      </c>
      <c r="F36" s="28" t="s">
        <v>220</v>
      </c>
      <c r="G36" s="29">
        <v>15000</v>
      </c>
      <c r="H36" s="30">
        <v>0</v>
      </c>
      <c r="I36" s="31">
        <f t="shared" si="0"/>
        <v>15000</v>
      </c>
    </row>
    <row r="37" spans="1:9" s="1" customFormat="1" ht="15" thickBot="1" x14ac:dyDescent="0.4">
      <c r="A37" s="15">
        <v>28</v>
      </c>
      <c r="B37" s="350"/>
      <c r="C37" s="109">
        <v>43360</v>
      </c>
      <c r="D37" s="110">
        <v>22222222</v>
      </c>
      <c r="E37" s="111" t="s">
        <v>221</v>
      </c>
      <c r="F37" s="112" t="s">
        <v>222</v>
      </c>
      <c r="G37" s="113">
        <v>100000</v>
      </c>
      <c r="H37" s="114">
        <v>0</v>
      </c>
      <c r="I37" s="115">
        <f t="shared" si="0"/>
        <v>100000</v>
      </c>
    </row>
    <row r="38" spans="1:9" s="1" customFormat="1" ht="15" thickBot="1" x14ac:dyDescent="0.4">
      <c r="A38" s="15">
        <v>29</v>
      </c>
      <c r="B38" s="9" t="s">
        <v>98</v>
      </c>
      <c r="C38" s="134">
        <v>43357</v>
      </c>
      <c r="D38" s="135">
        <v>900491889</v>
      </c>
      <c r="E38" s="136" t="str">
        <f>VLOOKUP(D38,[1]TERCEROS!$A$2:$C$4000,3,FALSE)</f>
        <v>EDS TERMINAL NEIVA</v>
      </c>
      <c r="F38" s="137" t="s">
        <v>68</v>
      </c>
      <c r="G38" s="138">
        <v>17800</v>
      </c>
      <c r="H38" s="139"/>
      <c r="I38" s="140">
        <f t="shared" si="0"/>
        <v>17800</v>
      </c>
    </row>
    <row r="39" spans="1:9" s="1" customFormat="1" ht="15" thickBot="1" x14ac:dyDescent="0.4">
      <c r="A39" s="15">
        <v>30</v>
      </c>
      <c r="B39" s="340" t="s">
        <v>32</v>
      </c>
      <c r="C39" s="107">
        <v>43361</v>
      </c>
      <c r="D39" s="17">
        <v>900276962</v>
      </c>
      <c r="E39" s="18" t="str">
        <f>VLOOKUP(D39,[1]TERCEROS!$A$2:$C$4000,3,FALSE)</f>
        <v>KOBA COLOMBIA S.A.S.</v>
      </c>
      <c r="F39" s="19" t="s">
        <v>223</v>
      </c>
      <c r="G39" s="20">
        <v>4650</v>
      </c>
      <c r="H39" s="21"/>
      <c r="I39" s="22">
        <f t="shared" si="0"/>
        <v>4650</v>
      </c>
    </row>
    <row r="40" spans="1:9" s="1" customFormat="1" ht="15" thickBot="1" x14ac:dyDescent="0.4">
      <c r="A40" s="15">
        <v>31</v>
      </c>
      <c r="B40" s="341"/>
      <c r="C40" s="108">
        <v>43364</v>
      </c>
      <c r="D40" s="26">
        <v>860045752</v>
      </c>
      <c r="E40" s="27" t="str">
        <f>VLOOKUP(D40,[1]TERCEROS!$A$2:$C$4000,3,FALSE)</f>
        <v>AUROS COPIAS SA</v>
      </c>
      <c r="F40" s="28" t="s">
        <v>224</v>
      </c>
      <c r="G40" s="29">
        <v>42017</v>
      </c>
      <c r="H40" s="30">
        <f>G40*19%</f>
        <v>7983.2300000000005</v>
      </c>
      <c r="I40" s="31">
        <f t="shared" si="0"/>
        <v>50000.23</v>
      </c>
    </row>
    <row r="41" spans="1:9" s="1" customFormat="1" ht="15" thickBot="1" x14ac:dyDescent="0.4">
      <c r="A41" s="15">
        <v>32</v>
      </c>
      <c r="B41" s="341"/>
      <c r="C41" s="108">
        <v>43321</v>
      </c>
      <c r="D41" s="26">
        <v>830101778</v>
      </c>
      <c r="E41" s="27" t="str">
        <f>VLOOKUP(D41,[1]TERCEROS!$A$2:$C$4000,3,FALSE)</f>
        <v>FRAYCO SA</v>
      </c>
      <c r="F41" s="28" t="s">
        <v>225</v>
      </c>
      <c r="G41" s="29">
        <v>17800</v>
      </c>
      <c r="H41" s="30"/>
      <c r="I41" s="31">
        <f t="shared" si="0"/>
        <v>17800</v>
      </c>
    </row>
    <row r="42" spans="1:9" s="1" customFormat="1" ht="15" thickBot="1" x14ac:dyDescent="0.4">
      <c r="A42" s="15">
        <v>33</v>
      </c>
      <c r="B42" s="341"/>
      <c r="C42" s="108">
        <v>43351</v>
      </c>
      <c r="D42" s="26">
        <v>800091165</v>
      </c>
      <c r="E42" s="27" t="s">
        <v>69</v>
      </c>
      <c r="F42" s="28" t="s">
        <v>35</v>
      </c>
      <c r="G42" s="29">
        <v>4500</v>
      </c>
      <c r="H42" s="30"/>
      <c r="I42" s="31">
        <f t="shared" si="0"/>
        <v>4500</v>
      </c>
    </row>
    <row r="43" spans="1:9" s="1" customFormat="1" ht="15" thickBot="1" x14ac:dyDescent="0.4">
      <c r="A43" s="15">
        <v>34</v>
      </c>
      <c r="B43" s="341"/>
      <c r="C43" s="108">
        <v>43350</v>
      </c>
      <c r="D43" s="26">
        <v>80038090</v>
      </c>
      <c r="E43" s="27" t="s">
        <v>226</v>
      </c>
      <c r="F43" s="28" t="s">
        <v>227</v>
      </c>
      <c r="G43" s="29">
        <v>13400</v>
      </c>
      <c r="H43" s="30"/>
      <c r="I43" s="31">
        <f t="shared" si="0"/>
        <v>13400</v>
      </c>
    </row>
    <row r="44" spans="1:9" s="1" customFormat="1" ht="15" thickBot="1" x14ac:dyDescent="0.4">
      <c r="A44" s="15">
        <v>35</v>
      </c>
      <c r="B44" s="341"/>
      <c r="C44" s="108">
        <v>43361</v>
      </c>
      <c r="D44" s="26">
        <v>5463640</v>
      </c>
      <c r="E44" s="27" t="str">
        <f>VLOOKUP(D44,[1]TERCEROS!$A$2:$C$4000,3,FALSE)</f>
        <v>JAIRO GANDUR ABUABARA</v>
      </c>
      <c r="F44" s="28" t="s">
        <v>62</v>
      </c>
      <c r="G44" s="29">
        <v>85370</v>
      </c>
      <c r="H44" s="30">
        <v>0</v>
      </c>
      <c r="I44" s="31">
        <f t="shared" si="0"/>
        <v>85370</v>
      </c>
    </row>
    <row r="45" spans="1:9" s="1" customFormat="1" ht="15" thickBot="1" x14ac:dyDescent="0.4">
      <c r="A45" s="15">
        <v>36</v>
      </c>
      <c r="B45" s="341"/>
      <c r="C45" s="108">
        <v>43361</v>
      </c>
      <c r="D45" s="26">
        <v>830129327</v>
      </c>
      <c r="E45" s="27" t="str">
        <f>VLOOKUP(D45,[1]TERCEROS!$A$2:$C$4000,3,FALSE)</f>
        <v>FARMACITY</v>
      </c>
      <c r="F45" s="28" t="s">
        <v>228</v>
      </c>
      <c r="G45" s="29">
        <v>3830</v>
      </c>
      <c r="H45" s="30"/>
      <c r="I45" s="31">
        <f t="shared" si="0"/>
        <v>3830</v>
      </c>
    </row>
    <row r="46" spans="1:9" s="1" customFormat="1" ht="15" thickBot="1" x14ac:dyDescent="0.4">
      <c r="A46" s="15">
        <v>37</v>
      </c>
      <c r="B46" s="346"/>
      <c r="C46" s="109">
        <v>43362</v>
      </c>
      <c r="D46" s="110">
        <v>800091165</v>
      </c>
      <c r="E46" s="111" t="s">
        <v>69</v>
      </c>
      <c r="F46" s="112" t="s">
        <v>35</v>
      </c>
      <c r="G46" s="113">
        <v>6000</v>
      </c>
      <c r="H46" s="114"/>
      <c r="I46" s="115">
        <f t="shared" si="0"/>
        <v>6000</v>
      </c>
    </row>
    <row r="47" spans="1:9" s="1" customFormat="1" ht="15" thickBot="1" x14ac:dyDescent="0.4">
      <c r="A47" s="15">
        <v>38</v>
      </c>
      <c r="B47" s="9" t="s">
        <v>229</v>
      </c>
      <c r="C47" s="134">
        <v>43354</v>
      </c>
      <c r="D47" s="135">
        <v>222222222</v>
      </c>
      <c r="E47" s="136" t="str">
        <f>VLOOKUP(D47,[1]TERCEROS!$A$2:$C$4000,3,FALSE)</f>
        <v>CUANTIAS MINIMAS</v>
      </c>
      <c r="F47" s="137" t="s">
        <v>230</v>
      </c>
      <c r="G47" s="138">
        <v>17000</v>
      </c>
      <c r="H47" s="139"/>
      <c r="I47" s="140">
        <f t="shared" si="0"/>
        <v>17000</v>
      </c>
    </row>
    <row r="48" spans="1:9" s="1" customFormat="1" ht="15" thickBot="1" x14ac:dyDescent="0.4">
      <c r="A48" s="15">
        <v>39</v>
      </c>
      <c r="B48" s="340" t="s">
        <v>32</v>
      </c>
      <c r="C48" s="107">
        <v>43355</v>
      </c>
      <c r="D48" s="17">
        <v>830054076</v>
      </c>
      <c r="E48" s="18" t="str">
        <f>VLOOKUP(D48,[1]TERCEROS!$A$2:$C$4000,3,FALSE)</f>
        <v>FIDEICOMISOS SOCIEDAD FIDUCIARIA</v>
      </c>
      <c r="F48" s="19" t="s">
        <v>59</v>
      </c>
      <c r="G48" s="20">
        <v>9700</v>
      </c>
      <c r="H48" s="21"/>
      <c r="I48" s="22">
        <f t="shared" si="0"/>
        <v>9700</v>
      </c>
    </row>
    <row r="49" spans="1:9" s="1" customFormat="1" ht="15" thickBot="1" x14ac:dyDescent="0.4">
      <c r="A49" s="15">
        <v>40</v>
      </c>
      <c r="B49" s="341"/>
      <c r="C49" s="108">
        <v>43355</v>
      </c>
      <c r="D49" s="26">
        <v>830054076</v>
      </c>
      <c r="E49" s="27" t="str">
        <f>VLOOKUP(D49,[1]TERCEROS!$A$2:$C$4000,3,FALSE)</f>
        <v>FIDEICOMISOS SOCIEDAD FIDUCIARIA</v>
      </c>
      <c r="F49" s="28" t="s">
        <v>59</v>
      </c>
      <c r="G49" s="29">
        <v>9700</v>
      </c>
      <c r="H49" s="30"/>
      <c r="I49" s="31">
        <f t="shared" si="0"/>
        <v>9700</v>
      </c>
    </row>
    <row r="50" spans="1:9" s="1" customFormat="1" ht="15" thickBot="1" x14ac:dyDescent="0.4">
      <c r="A50" s="15">
        <v>41</v>
      </c>
      <c r="B50" s="341"/>
      <c r="C50" s="108">
        <v>43364</v>
      </c>
      <c r="D50" s="26">
        <v>800251569</v>
      </c>
      <c r="E50" s="27" t="str">
        <f>VLOOKUP(D50,[1]TERCEROS!$A$2:$C$4000,3,FALSE)</f>
        <v>INTER RAPIDISIMO SA</v>
      </c>
      <c r="F50" s="28" t="s">
        <v>231</v>
      </c>
      <c r="G50" s="29">
        <v>9500</v>
      </c>
      <c r="H50" s="30"/>
      <c r="I50" s="31">
        <f t="shared" si="0"/>
        <v>9500</v>
      </c>
    </row>
    <row r="51" spans="1:9" s="1" customFormat="1" ht="15" thickBot="1" x14ac:dyDescent="0.4">
      <c r="A51" s="15">
        <v>42</v>
      </c>
      <c r="B51" s="341"/>
      <c r="C51" s="108">
        <v>43367</v>
      </c>
      <c r="D51" s="26">
        <v>20993981</v>
      </c>
      <c r="E51" s="27" t="str">
        <f>VLOOKUP(D51,[1]TERCEROS!$A$2:$C$4000,3,FALSE)</f>
        <v>MARTA LUCIA GOMEZ HILARION</v>
      </c>
      <c r="F51" s="28" t="s">
        <v>48</v>
      </c>
      <c r="G51" s="29">
        <v>23300</v>
      </c>
      <c r="H51" s="30"/>
      <c r="I51" s="31">
        <f t="shared" si="0"/>
        <v>23300</v>
      </c>
    </row>
    <row r="52" spans="1:9" s="1" customFormat="1" ht="24.5" thickBot="1" x14ac:dyDescent="0.4">
      <c r="A52" s="15">
        <v>43</v>
      </c>
      <c r="B52" s="341"/>
      <c r="C52" s="108">
        <v>43362</v>
      </c>
      <c r="D52" s="26">
        <v>900754508</v>
      </c>
      <c r="E52" s="27" t="s">
        <v>206</v>
      </c>
      <c r="F52" s="28" t="s">
        <v>232</v>
      </c>
      <c r="G52" s="29">
        <v>142500</v>
      </c>
      <c r="H52" s="30"/>
      <c r="I52" s="31">
        <f t="shared" si="0"/>
        <v>142500</v>
      </c>
    </row>
    <row r="53" spans="1:9" s="1" customFormat="1" ht="15" thickBot="1" x14ac:dyDescent="0.4">
      <c r="A53" s="15">
        <v>44</v>
      </c>
      <c r="B53" s="341"/>
      <c r="C53" s="108">
        <v>43352</v>
      </c>
      <c r="D53" s="26">
        <v>900491889</v>
      </c>
      <c r="E53" s="27" t="str">
        <f>VLOOKUP(D53,[1]TERCEROS!$A$2:$C$4000,3,FALSE)</f>
        <v>EDS TERMINAL NEIVA</v>
      </c>
      <c r="F53" s="28" t="s">
        <v>233</v>
      </c>
      <c r="G53" s="29">
        <v>11800</v>
      </c>
      <c r="H53" s="30"/>
      <c r="I53" s="31">
        <f t="shared" si="0"/>
        <v>11800</v>
      </c>
    </row>
    <row r="54" spans="1:9" s="1" customFormat="1" ht="15" thickBot="1" x14ac:dyDescent="0.4">
      <c r="A54" s="15">
        <v>45</v>
      </c>
      <c r="B54" s="346"/>
      <c r="C54" s="109">
        <v>43356</v>
      </c>
      <c r="D54" s="110">
        <v>79970236</v>
      </c>
      <c r="E54" s="111" t="str">
        <f>VLOOKUP(D54,[1]TERCEROS!$A$2:$C$4000,3,FALSE)</f>
        <v>DUMAR RICARDO BUITRAGO PIÑEROS</v>
      </c>
      <c r="F54" s="112" t="s">
        <v>222</v>
      </c>
      <c r="G54" s="113">
        <v>130000</v>
      </c>
      <c r="H54" s="114"/>
      <c r="I54" s="115">
        <f t="shared" si="0"/>
        <v>130000</v>
      </c>
    </row>
    <row r="55" spans="1:9" s="1" customFormat="1" ht="15" thickBot="1" x14ac:dyDescent="0.4">
      <c r="A55" s="15">
        <v>46</v>
      </c>
      <c r="B55" s="340" t="s">
        <v>234</v>
      </c>
      <c r="C55" s="175">
        <v>43349</v>
      </c>
      <c r="D55" s="120">
        <v>90174965</v>
      </c>
      <c r="E55" s="121" t="s">
        <v>235</v>
      </c>
      <c r="F55" s="122" t="s">
        <v>236</v>
      </c>
      <c r="G55" s="123">
        <v>117000</v>
      </c>
      <c r="H55" s="124"/>
      <c r="I55" s="125">
        <f t="shared" si="0"/>
        <v>117000</v>
      </c>
    </row>
    <row r="56" spans="1:9" s="1" customFormat="1" ht="15" thickBot="1" x14ac:dyDescent="0.4">
      <c r="A56" s="15">
        <v>47</v>
      </c>
      <c r="B56" s="341"/>
      <c r="C56" s="25">
        <v>43348</v>
      </c>
      <c r="D56" s="26">
        <v>900335241</v>
      </c>
      <c r="E56" s="27" t="str">
        <f>VLOOKUP(D56,[1]TERCEROS!$A$2:$C$4000,3,FALSE)</f>
        <v>MIS CARNES PARRILLA S.A.S</v>
      </c>
      <c r="F56" s="28" t="s">
        <v>141</v>
      </c>
      <c r="G56" s="29">
        <v>80500</v>
      </c>
      <c r="H56" s="30"/>
      <c r="I56" s="31">
        <f t="shared" si="0"/>
        <v>80500</v>
      </c>
    </row>
    <row r="57" spans="1:9" s="1" customFormat="1" ht="15" thickBot="1" x14ac:dyDescent="0.4">
      <c r="A57" s="15">
        <v>48</v>
      </c>
      <c r="B57" s="346"/>
      <c r="C57" s="106">
        <v>43356</v>
      </c>
      <c r="D57" s="91">
        <v>1072655064</v>
      </c>
      <c r="E57" s="92" t="s">
        <v>217</v>
      </c>
      <c r="F57" s="86" t="s">
        <v>141</v>
      </c>
      <c r="G57" s="87">
        <v>39500</v>
      </c>
      <c r="H57" s="88"/>
      <c r="I57" s="89">
        <f>IF($K$14=1,G57+H57,G57*H57)</f>
        <v>39500</v>
      </c>
    </row>
    <row r="58" spans="1:9" s="1" customFormat="1" ht="15" thickBot="1" x14ac:dyDescent="0.4">
      <c r="A58" s="15">
        <v>49</v>
      </c>
      <c r="B58" s="349" t="s">
        <v>32</v>
      </c>
      <c r="C58" s="107">
        <v>43362</v>
      </c>
      <c r="D58" s="17">
        <v>79981003</v>
      </c>
      <c r="E58" s="18" t="str">
        <f>VLOOKUP(D58,[1]TERCEROS!$A$2:$C$4000,3,FALSE)</f>
        <v>JAIME FERNANDO BELTRAN MORA</v>
      </c>
      <c r="F58" s="19" t="s">
        <v>48</v>
      </c>
      <c r="G58" s="20">
        <v>36000</v>
      </c>
      <c r="H58" s="21"/>
      <c r="I58" s="22">
        <f t="shared" si="0"/>
        <v>36000</v>
      </c>
    </row>
    <row r="59" spans="1:9" s="1" customFormat="1" ht="15" thickBot="1" x14ac:dyDescent="0.4">
      <c r="A59" s="15">
        <v>50</v>
      </c>
      <c r="B59" s="350"/>
      <c r="C59" s="109">
        <v>43362</v>
      </c>
      <c r="D59" s="110">
        <v>3199965</v>
      </c>
      <c r="E59" s="111" t="str">
        <f>VLOOKUP(D59,[1]TERCEROS!$A$2:$C$4000,3,FALSE)</f>
        <v>ACUÑA INFANTE HECTOR HERNAN</v>
      </c>
      <c r="F59" s="112" t="s">
        <v>237</v>
      </c>
      <c r="G59" s="113">
        <v>20000</v>
      </c>
      <c r="H59" s="114"/>
      <c r="I59" s="115">
        <f t="shared" si="0"/>
        <v>20000</v>
      </c>
    </row>
    <row r="60" spans="1:9" s="1" customFormat="1" ht="15" thickBot="1" x14ac:dyDescent="0.4">
      <c r="A60" s="15">
        <v>51</v>
      </c>
      <c r="B60" s="9" t="s">
        <v>238</v>
      </c>
      <c r="C60" s="134">
        <v>43362</v>
      </c>
      <c r="D60" s="135">
        <v>80173451</v>
      </c>
      <c r="E60" s="136" t="str">
        <f>VLOOKUP(D60,[1]TERCEROS!$A$2:$C$4000,3,FALSE)</f>
        <v>CARO RIVERA JUAN CARLOS</v>
      </c>
      <c r="F60" s="137" t="s">
        <v>239</v>
      </c>
      <c r="G60" s="138">
        <v>375000</v>
      </c>
      <c r="H60" s="139">
        <v>0</v>
      </c>
      <c r="I60" s="140">
        <f t="shared" si="0"/>
        <v>375000</v>
      </c>
    </row>
    <row r="61" spans="1:9" s="1" customFormat="1" ht="15" thickBot="1" x14ac:dyDescent="0.4">
      <c r="A61" s="15"/>
      <c r="B61" s="347" t="s">
        <v>32</v>
      </c>
      <c r="C61" s="107">
        <v>43356</v>
      </c>
      <c r="D61" s="17">
        <v>359715</v>
      </c>
      <c r="E61" s="18" t="s">
        <v>249</v>
      </c>
      <c r="F61" s="19" t="s">
        <v>48</v>
      </c>
      <c r="G61" s="20">
        <v>9000</v>
      </c>
      <c r="H61" s="21"/>
      <c r="I61" s="22">
        <f t="shared" ref="I61:I62" si="1">IF($K$14=1,G61+H61,G61*H61)</f>
        <v>9000</v>
      </c>
    </row>
    <row r="62" spans="1:9" s="1" customFormat="1" ht="15" thickBot="1" x14ac:dyDescent="0.4">
      <c r="A62" s="15"/>
      <c r="B62" s="326"/>
      <c r="C62" s="108">
        <v>43356</v>
      </c>
      <c r="D62" s="26">
        <v>900953424</v>
      </c>
      <c r="E62" s="27" t="s">
        <v>250</v>
      </c>
      <c r="F62" s="28" t="s">
        <v>251</v>
      </c>
      <c r="G62" s="29">
        <v>103800</v>
      </c>
      <c r="H62" s="30"/>
      <c r="I62" s="31">
        <f t="shared" si="1"/>
        <v>103800</v>
      </c>
    </row>
    <row r="63" spans="1:9" s="1" customFormat="1" ht="15" thickBot="1" x14ac:dyDescent="0.4">
      <c r="A63" s="15">
        <v>52</v>
      </c>
      <c r="B63" s="326"/>
      <c r="C63" s="108">
        <v>43360</v>
      </c>
      <c r="D63" s="26">
        <v>1032395430</v>
      </c>
      <c r="E63" s="27" t="str">
        <f>VLOOKUP(D63,[1]TERCEROS!$A$2:$C$4000,3,FALSE)</f>
        <v xml:space="preserve">OMAR VILLAMIL </v>
      </c>
      <c r="F63" s="28" t="s">
        <v>222</v>
      </c>
      <c r="G63" s="29">
        <v>130000</v>
      </c>
      <c r="H63" s="30"/>
      <c r="I63" s="31">
        <f t="shared" si="0"/>
        <v>130000</v>
      </c>
    </row>
    <row r="64" spans="1:9" s="1" customFormat="1" ht="15" thickBot="1" x14ac:dyDescent="0.4">
      <c r="A64" s="15">
        <v>55</v>
      </c>
      <c r="B64" s="348"/>
      <c r="C64" s="109">
        <v>43357</v>
      </c>
      <c r="D64" s="110">
        <v>2222222</v>
      </c>
      <c r="E64" s="111" t="s">
        <v>240</v>
      </c>
      <c r="F64" s="112" t="s">
        <v>222</v>
      </c>
      <c r="G64" s="113">
        <v>100000</v>
      </c>
      <c r="H64" s="114"/>
      <c r="I64" s="115">
        <f t="shared" si="0"/>
        <v>100000</v>
      </c>
    </row>
    <row r="65" spans="1:37" s="1" customFormat="1" ht="15" thickBot="1" x14ac:dyDescent="0.4">
      <c r="A65" s="15">
        <v>56</v>
      </c>
      <c r="B65" s="167" t="s">
        <v>241</v>
      </c>
      <c r="C65" s="176">
        <v>43357</v>
      </c>
      <c r="D65" s="135">
        <v>7792273</v>
      </c>
      <c r="E65" s="136" t="s">
        <v>242</v>
      </c>
      <c r="F65" s="137" t="s">
        <v>243</v>
      </c>
      <c r="G65" s="138">
        <v>110000</v>
      </c>
      <c r="H65" s="139"/>
      <c r="I65" s="140">
        <f t="shared" si="0"/>
        <v>110000</v>
      </c>
    </row>
    <row r="66" spans="1:37" s="1" customFormat="1" ht="15" thickBot="1" x14ac:dyDescent="0.4">
      <c r="A66" s="15">
        <v>57</v>
      </c>
      <c r="B66" s="9" t="s">
        <v>98</v>
      </c>
      <c r="C66" s="95">
        <v>43355</v>
      </c>
      <c r="D66" s="96">
        <v>800097424</v>
      </c>
      <c r="E66" s="97" t="str">
        <f>VLOOKUP(D66,[1]TERCEROS!$A$2:$C$4000,3,FALSE)</f>
        <v>DISTRIBUIDORA LA PUNTA LTDA</v>
      </c>
      <c r="F66" s="98" t="s">
        <v>244</v>
      </c>
      <c r="G66" s="99">
        <v>18059</v>
      </c>
      <c r="H66" s="100"/>
      <c r="I66" s="101">
        <f t="shared" si="0"/>
        <v>18059</v>
      </c>
    </row>
    <row r="67" spans="1:37" s="1" customFormat="1" ht="15" thickBot="1" x14ac:dyDescent="0.4">
      <c r="A67" s="15">
        <v>58</v>
      </c>
      <c r="B67" s="336" t="s">
        <v>115</v>
      </c>
      <c r="C67" s="133">
        <v>43357</v>
      </c>
      <c r="D67" s="120">
        <v>7792273</v>
      </c>
      <c r="E67" s="121" t="s">
        <v>242</v>
      </c>
      <c r="F67" s="122" t="s">
        <v>245</v>
      </c>
      <c r="G67" s="123">
        <v>20150</v>
      </c>
      <c r="H67" s="124"/>
      <c r="I67" s="125">
        <f t="shared" si="0"/>
        <v>20150</v>
      </c>
    </row>
    <row r="68" spans="1:37" s="1" customFormat="1" ht="15" thickBot="1" x14ac:dyDescent="0.4">
      <c r="A68" s="15">
        <v>59</v>
      </c>
      <c r="B68" s="337"/>
      <c r="C68" s="32">
        <v>43361</v>
      </c>
      <c r="D68" s="26">
        <v>1031138543</v>
      </c>
      <c r="E68" s="27" t="str">
        <f>VLOOKUP(D68,[1]TERCEROS!$A$2:$C$4000,3,FALSE)</f>
        <v>OSCAR EDUARDO VALENCIA</v>
      </c>
      <c r="F68" s="28" t="s">
        <v>245</v>
      </c>
      <c r="G68" s="29">
        <v>9780</v>
      </c>
      <c r="H68" s="30"/>
      <c r="I68" s="31">
        <f t="shared" si="0"/>
        <v>9780</v>
      </c>
    </row>
    <row r="69" spans="1:37" s="1" customFormat="1" ht="15" thickBot="1" x14ac:dyDescent="0.4">
      <c r="A69" s="15">
        <v>60</v>
      </c>
      <c r="B69" s="337"/>
      <c r="C69" s="90">
        <v>43361</v>
      </c>
      <c r="D69" s="91">
        <v>20993981</v>
      </c>
      <c r="E69" s="92" t="str">
        <f>VLOOKUP(D69,[1]TERCEROS!$A$2:$C$4000,3,FALSE)</f>
        <v>MARTA LUCIA GOMEZ HILARION</v>
      </c>
      <c r="F69" s="86" t="s">
        <v>246</v>
      </c>
      <c r="G69" s="87">
        <v>50000</v>
      </c>
      <c r="H69" s="88"/>
      <c r="I69" s="89">
        <f t="shared" si="0"/>
        <v>50000</v>
      </c>
    </row>
    <row r="70" spans="1:37" s="1" customFormat="1" ht="18.75" customHeight="1" thickBot="1" x14ac:dyDescent="0.4">
      <c r="A70" s="15">
        <v>61</v>
      </c>
      <c r="B70" s="9" t="s">
        <v>32</v>
      </c>
      <c r="C70" s="95">
        <v>43361</v>
      </c>
      <c r="D70" s="96">
        <v>222222222</v>
      </c>
      <c r="E70" s="97" t="str">
        <f>VLOOKUP(D70,[1]TERCEROS!$A$2:$C$4000,3,FALSE)</f>
        <v>CUANTIAS MINIMAS</v>
      </c>
      <c r="F70" s="98" t="s">
        <v>48</v>
      </c>
      <c r="G70" s="99">
        <v>15000</v>
      </c>
      <c r="H70" s="100"/>
      <c r="I70" s="101">
        <f t="shared" si="0"/>
        <v>15000</v>
      </c>
    </row>
    <row r="71" spans="1:37" s="1" customFormat="1" ht="18.75" customHeight="1" thickBot="1" x14ac:dyDescent="0.4">
      <c r="A71" s="15">
        <v>62</v>
      </c>
      <c r="B71" s="340" t="s">
        <v>247</v>
      </c>
      <c r="C71" s="175">
        <v>43360</v>
      </c>
      <c r="D71" s="120">
        <v>1031138543</v>
      </c>
      <c r="E71" s="121" t="str">
        <f>VLOOKUP(D71,[1]TERCEROS!$A$2:$C$4000,3,FALSE)</f>
        <v>OSCAR EDUARDO VALENCIA</v>
      </c>
      <c r="F71" s="122" t="s">
        <v>248</v>
      </c>
      <c r="G71" s="123">
        <v>500000</v>
      </c>
      <c r="H71" s="124"/>
      <c r="I71" s="125">
        <f t="shared" si="0"/>
        <v>500000</v>
      </c>
    </row>
    <row r="72" spans="1:37" s="1" customFormat="1" ht="18.75" customHeight="1" thickBot="1" x14ac:dyDescent="0.4">
      <c r="A72" s="15">
        <v>63</v>
      </c>
      <c r="B72" s="346"/>
      <c r="C72" s="174">
        <v>43361</v>
      </c>
      <c r="D72" s="153">
        <v>1019019608</v>
      </c>
      <c r="E72" s="27" t="str">
        <f>VLOOKUP(D72,[1]TERCEROS!$A$2:$C$4000,3,FALSE)</f>
        <v>LUIS ANDRES BAYONA</v>
      </c>
      <c r="F72" s="28" t="s">
        <v>248</v>
      </c>
      <c r="G72" s="156">
        <v>200000</v>
      </c>
      <c r="H72" s="157"/>
      <c r="I72" s="158">
        <f t="shared" si="0"/>
        <v>200000</v>
      </c>
    </row>
    <row r="73" spans="1:37" s="2" customFormat="1" ht="15.75" customHeight="1" thickBot="1" x14ac:dyDescent="0.4">
      <c r="A73" s="335" t="s">
        <v>252</v>
      </c>
      <c r="B73" s="329"/>
      <c r="C73" s="329"/>
      <c r="D73" s="329"/>
      <c r="E73" s="330"/>
      <c r="F73" s="93" t="s">
        <v>24</v>
      </c>
      <c r="G73" s="94">
        <f>SUM(G10:G72)</f>
        <v>2868356</v>
      </c>
      <c r="H73" s="94"/>
      <c r="I73" s="94">
        <f>SUM(I10:I72)</f>
        <v>2876339.23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s="2" customFormat="1" ht="15" customHeight="1" x14ac:dyDescent="0.35">
      <c r="A74" s="300" t="s">
        <v>26</v>
      </c>
      <c r="B74" s="301"/>
      <c r="C74" s="301"/>
      <c r="D74" s="306" t="s">
        <v>58</v>
      </c>
      <c r="E74" s="307"/>
      <c r="F74" s="312"/>
      <c r="G74" s="315" t="s">
        <v>16</v>
      </c>
      <c r="H74" s="316"/>
      <c r="I74" s="35">
        <v>3000000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s="2" customFormat="1" ht="15" customHeight="1" x14ac:dyDescent="0.35">
      <c r="A75" s="302"/>
      <c r="B75" s="303"/>
      <c r="C75" s="303"/>
      <c r="D75" s="308"/>
      <c r="E75" s="309"/>
      <c r="F75" s="313"/>
      <c r="G75" s="317" t="s">
        <v>17</v>
      </c>
      <c r="H75" s="318"/>
      <c r="I75" s="36">
        <f>+I74-I73</f>
        <v>123660.77000000002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s="1" customFormat="1" ht="15.75" customHeight="1" thickBot="1" x14ac:dyDescent="0.4">
      <c r="A76" s="304"/>
      <c r="B76" s="305"/>
      <c r="C76" s="305"/>
      <c r="D76" s="310"/>
      <c r="E76" s="311"/>
      <c r="F76" s="314"/>
      <c r="G76" s="289" t="s">
        <v>5</v>
      </c>
      <c r="H76" s="290"/>
      <c r="I76" s="37">
        <f>+I74-I75</f>
        <v>2876339.23</v>
      </c>
    </row>
    <row r="77" spans="1:37" s="1" customFormat="1" ht="15" thickBot="1" x14ac:dyDescent="0.4">
      <c r="A77" s="291" t="s">
        <v>25</v>
      </c>
      <c r="B77" s="292"/>
      <c r="C77" s="292"/>
      <c r="D77" s="293"/>
      <c r="E77" s="38"/>
      <c r="F77" s="38"/>
      <c r="G77" s="38"/>
      <c r="H77" s="38"/>
      <c r="I77" s="39"/>
    </row>
    <row r="78" spans="1:37" s="1" customFormat="1" ht="15" thickBot="1" x14ac:dyDescent="0.4">
      <c r="A78" s="40"/>
      <c r="B78" s="41" t="s">
        <v>6</v>
      </c>
      <c r="C78" s="42">
        <f>D94</f>
        <v>124000</v>
      </c>
      <c r="D78" s="39"/>
      <c r="E78" s="43">
        <f>C78+C81+I73</f>
        <v>3000339.23</v>
      </c>
      <c r="F78" s="43"/>
      <c r="G78" s="38"/>
      <c r="H78" s="38"/>
      <c r="I78" s="44"/>
    </row>
    <row r="79" spans="1:37" s="1" customFormat="1" ht="15" thickBot="1" x14ac:dyDescent="0.4">
      <c r="A79" s="40"/>
      <c r="B79" s="41"/>
      <c r="C79" s="42"/>
      <c r="D79" s="39"/>
      <c r="E79" s="43"/>
      <c r="F79" s="43"/>
      <c r="G79" s="38"/>
      <c r="H79" s="38"/>
      <c r="I79" s="44"/>
    </row>
    <row r="80" spans="1:37" s="1" customFormat="1" ht="15" thickBot="1" x14ac:dyDescent="0.4">
      <c r="A80" s="40"/>
      <c r="B80" s="41"/>
      <c r="C80" s="45"/>
      <c r="D80" s="39"/>
      <c r="E80" s="43">
        <f>+E78-I74</f>
        <v>339.22999999998137</v>
      </c>
      <c r="F80" s="38"/>
      <c r="G80" s="38"/>
      <c r="H80" s="38"/>
      <c r="I80" s="39"/>
    </row>
    <row r="81" spans="1:37" s="1" customFormat="1" ht="15" thickBot="1" x14ac:dyDescent="0.4">
      <c r="A81" s="40"/>
      <c r="B81" s="47" t="s">
        <v>7</v>
      </c>
      <c r="C81" s="45">
        <f>SUM(C79:C80)</f>
        <v>0</v>
      </c>
      <c r="D81" s="39"/>
      <c r="E81" s="48"/>
      <c r="F81" s="48"/>
      <c r="G81" s="48"/>
      <c r="H81" s="48"/>
      <c r="I81" s="49"/>
    </row>
    <row r="82" spans="1:37" s="1" customFormat="1" ht="15" thickBot="1" x14ac:dyDescent="0.4">
      <c r="A82" s="40"/>
      <c r="B82" s="50"/>
      <c r="C82" s="51"/>
      <c r="D82" s="39"/>
      <c r="E82" s="48"/>
      <c r="F82" s="48"/>
      <c r="G82" s="48"/>
      <c r="H82" s="48"/>
      <c r="I82" s="49"/>
    </row>
    <row r="83" spans="1:37" s="1" customFormat="1" ht="15" thickBot="1" x14ac:dyDescent="0.4">
      <c r="A83" s="40"/>
      <c r="B83" s="52"/>
      <c r="C83" s="53" t="s">
        <v>11</v>
      </c>
      <c r="D83" s="54" t="s">
        <v>4</v>
      </c>
      <c r="E83" s="38"/>
      <c r="F83" s="55"/>
      <c r="G83" s="38"/>
      <c r="H83" s="38"/>
      <c r="I83" s="39"/>
    </row>
    <row r="84" spans="1:37" s="1" customFormat="1" ht="14.5" x14ac:dyDescent="0.35">
      <c r="A84" s="40"/>
      <c r="B84" s="56">
        <v>2</v>
      </c>
      <c r="C84" s="57">
        <v>50000</v>
      </c>
      <c r="D84" s="58">
        <f t="shared" ref="D84:D93" si="2">+C84*B84</f>
        <v>100000</v>
      </c>
      <c r="E84" s="166" t="s">
        <v>29</v>
      </c>
      <c r="F84" s="60" t="s">
        <v>27</v>
      </c>
      <c r="G84" s="294" t="s">
        <v>28</v>
      </c>
      <c r="H84" s="294"/>
      <c r="I84" s="295"/>
    </row>
    <row r="85" spans="1:37" s="5" customFormat="1" ht="15" customHeight="1" x14ac:dyDescent="0.35">
      <c r="A85" s="40"/>
      <c r="B85" s="62">
        <v>1</v>
      </c>
      <c r="C85" s="63">
        <v>20000</v>
      </c>
      <c r="D85" s="58">
        <f t="shared" si="2"/>
        <v>20000</v>
      </c>
      <c r="E85" s="164" t="s">
        <v>19</v>
      </c>
      <c r="F85" s="164" t="s">
        <v>20</v>
      </c>
      <c r="G85" s="296" t="s">
        <v>21</v>
      </c>
      <c r="H85" s="296"/>
      <c r="I85" s="29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s="5" customFormat="1" ht="15" customHeight="1" x14ac:dyDescent="0.35">
      <c r="A86" s="40"/>
      <c r="B86" s="62"/>
      <c r="C86" s="63">
        <v>10000</v>
      </c>
      <c r="D86" s="58">
        <f t="shared" si="2"/>
        <v>0</v>
      </c>
      <c r="E86" s="165" t="s">
        <v>79</v>
      </c>
      <c r="F86" s="165" t="s">
        <v>80</v>
      </c>
      <c r="G86" s="298" t="s">
        <v>81</v>
      </c>
      <c r="H86" s="298"/>
      <c r="I86" s="29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s="5" customFormat="1" ht="15" customHeight="1" x14ac:dyDescent="0.35">
      <c r="A87" s="40"/>
      <c r="B87" s="62"/>
      <c r="C87" s="63">
        <v>5000</v>
      </c>
      <c r="D87" s="58">
        <f t="shared" si="2"/>
        <v>0</v>
      </c>
      <c r="E87" s="38" t="s">
        <v>0</v>
      </c>
      <c r="F87" s="38"/>
      <c r="G87" s="38"/>
      <c r="H87" s="38"/>
      <c r="I87" s="3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s="5" customFormat="1" ht="15" customHeight="1" x14ac:dyDescent="0.35">
      <c r="A88" s="40"/>
      <c r="B88" s="62">
        <v>2</v>
      </c>
      <c r="C88" s="63">
        <v>2000</v>
      </c>
      <c r="D88" s="58">
        <f t="shared" si="2"/>
        <v>4000</v>
      </c>
      <c r="E88" s="38"/>
      <c r="F88" s="38" t="s">
        <v>8</v>
      </c>
      <c r="G88" s="38"/>
      <c r="H88" s="38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5" customFormat="1" ht="15" customHeight="1" x14ac:dyDescent="0.35">
      <c r="A89" s="40"/>
      <c r="B89" s="62"/>
      <c r="C89" s="63">
        <v>1000</v>
      </c>
      <c r="D89" s="58">
        <f t="shared" si="2"/>
        <v>0</v>
      </c>
      <c r="E89" s="38"/>
      <c r="F89" s="38"/>
      <c r="G89" s="38"/>
      <c r="H89" s="38"/>
      <c r="I89" s="3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s="1" customFormat="1" ht="15" customHeight="1" x14ac:dyDescent="0.35">
      <c r="A90" s="40"/>
      <c r="B90" s="62"/>
      <c r="C90" s="63">
        <v>500</v>
      </c>
      <c r="D90" s="58">
        <f t="shared" si="2"/>
        <v>0</v>
      </c>
      <c r="E90" s="38"/>
      <c r="F90" s="38"/>
      <c r="G90" s="38"/>
      <c r="H90" s="38"/>
      <c r="I90" s="39"/>
    </row>
    <row r="91" spans="1:37" s="1" customFormat="1" ht="15" customHeight="1" x14ac:dyDescent="0.35">
      <c r="A91" s="40"/>
      <c r="B91" s="62"/>
      <c r="C91" s="63">
        <v>200</v>
      </c>
      <c r="D91" s="58">
        <f t="shared" si="2"/>
        <v>0</v>
      </c>
      <c r="E91" s="38"/>
      <c r="F91" s="38"/>
      <c r="G91" s="38"/>
      <c r="H91" s="38"/>
      <c r="I91" s="39"/>
    </row>
    <row r="92" spans="1:37" s="1" customFormat="1" ht="15" customHeight="1" x14ac:dyDescent="0.35">
      <c r="A92" s="40"/>
      <c r="B92" s="62"/>
      <c r="C92" s="63">
        <v>100</v>
      </c>
      <c r="D92" s="58">
        <f>+C92*B92</f>
        <v>0</v>
      </c>
      <c r="E92" s="38"/>
      <c r="F92" s="38"/>
      <c r="G92" s="38"/>
      <c r="H92" s="38"/>
      <c r="I92" s="39"/>
    </row>
    <row r="93" spans="1:37" s="5" customFormat="1" ht="15" customHeight="1" thickBot="1" x14ac:dyDescent="0.4">
      <c r="A93" s="40"/>
      <c r="B93" s="68"/>
      <c r="C93" s="69">
        <v>50</v>
      </c>
      <c r="D93" s="58">
        <f t="shared" si="2"/>
        <v>0</v>
      </c>
      <c r="E93" s="38"/>
      <c r="F93" s="38"/>
      <c r="G93" s="38"/>
      <c r="H93" s="38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s="1" customFormat="1" ht="15" customHeight="1" thickBot="1" x14ac:dyDescent="0.4">
      <c r="A94" s="40"/>
      <c r="B94" s="166"/>
      <c r="C94" s="70"/>
      <c r="D94" s="71">
        <f>SUM(D84:D93)</f>
        <v>124000</v>
      </c>
      <c r="E94" s="38"/>
      <c r="F94" s="38"/>
      <c r="G94" s="38"/>
      <c r="H94" s="38"/>
      <c r="I94" s="39"/>
    </row>
    <row r="95" spans="1:37" s="5" customFormat="1" ht="15" customHeight="1" thickBot="1" x14ac:dyDescent="0.4">
      <c r="A95" s="72"/>
      <c r="B95" s="73"/>
      <c r="C95" s="74"/>
      <c r="D95" s="75"/>
      <c r="E95" s="76"/>
      <c r="F95" s="76"/>
      <c r="G95" s="76"/>
      <c r="H95" s="76"/>
      <c r="I95" s="7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s="5" customFormat="1" ht="22.5" customHeight="1" x14ac:dyDescent="0.35">
      <c r="A96" s="1"/>
      <c r="B96"/>
      <c r="C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s="3" customFormat="1" ht="22.5" customHeight="1" x14ac:dyDescent="0.35">
      <c r="A97"/>
      <c r="B97"/>
      <c r="C97" s="6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s="3" customFormat="1" ht="22.5" customHeight="1" x14ac:dyDescent="0.35">
      <c r="A98"/>
      <c r="B98"/>
      <c r="C98" s="6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s="3" customFormat="1" ht="22.5" customHeight="1" x14ac:dyDescent="0.35">
      <c r="A99"/>
      <c r="B99"/>
      <c r="C99" s="6"/>
      <c r="D99" s="7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</sheetData>
  <mergeCells count="28">
    <mergeCell ref="A1:B6"/>
    <mergeCell ref="C1:F3"/>
    <mergeCell ref="G1:I2"/>
    <mergeCell ref="G3:I4"/>
    <mergeCell ref="C4:F6"/>
    <mergeCell ref="G5:I6"/>
    <mergeCell ref="A77:D77"/>
    <mergeCell ref="A7:B7"/>
    <mergeCell ref="C7:I7"/>
    <mergeCell ref="A8:I8"/>
    <mergeCell ref="B55:B57"/>
    <mergeCell ref="B58:B59"/>
    <mergeCell ref="G84:I84"/>
    <mergeCell ref="G85:I85"/>
    <mergeCell ref="G86:I86"/>
    <mergeCell ref="B10:B37"/>
    <mergeCell ref="B39:B46"/>
    <mergeCell ref="B48:B54"/>
    <mergeCell ref="A73:E73"/>
    <mergeCell ref="A74:C76"/>
    <mergeCell ref="D74:E76"/>
    <mergeCell ref="F74:F76"/>
    <mergeCell ref="G74:H74"/>
    <mergeCell ref="G75:H75"/>
    <mergeCell ref="G76:H76"/>
    <mergeCell ref="B67:B69"/>
    <mergeCell ref="B71:B72"/>
    <mergeCell ref="B61:B64"/>
  </mergeCells>
  <pageMargins left="0.25" right="0.25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13"/>
  <sheetViews>
    <sheetView showGridLines="0" topLeftCell="A58" workbookViewId="0">
      <selection activeCell="F86" sqref="F86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43374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93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93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347" t="s">
        <v>32</v>
      </c>
      <c r="C10" s="107">
        <v>43368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177">
        <v>0</v>
      </c>
      <c r="I10" s="22">
        <f>IF($K$14=1,G10+H10,G10*H10)</f>
        <v>9700</v>
      </c>
    </row>
    <row r="11" spans="1:12" s="1" customFormat="1" ht="15" thickBot="1" x14ac:dyDescent="0.4">
      <c r="A11" s="82">
        <v>2</v>
      </c>
      <c r="B11" s="326"/>
      <c r="C11" s="108">
        <v>43368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31">
        <f>IF($K$14=1,G11+H11,G11*H11)</f>
        <v>9700</v>
      </c>
    </row>
    <row r="12" spans="1:12" s="1" customFormat="1" ht="15" thickBot="1" x14ac:dyDescent="0.4">
      <c r="A12" s="82">
        <v>3</v>
      </c>
      <c r="B12" s="326"/>
      <c r="C12" s="108">
        <v>43369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31">
        <f t="shared" ref="I12:I86" si="0">IF($K$14=1,G12+H12,G12*H12)</f>
        <v>9700</v>
      </c>
    </row>
    <row r="13" spans="1:12" s="1" customFormat="1" ht="15" thickBot="1" x14ac:dyDescent="0.4">
      <c r="A13" s="82">
        <v>4</v>
      </c>
      <c r="B13" s="326"/>
      <c r="C13" s="108">
        <v>43364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31">
        <f t="shared" si="0"/>
        <v>9700</v>
      </c>
    </row>
    <row r="14" spans="1:12" s="1" customFormat="1" ht="15" thickBot="1" x14ac:dyDescent="0.4">
      <c r="A14" s="82">
        <v>5</v>
      </c>
      <c r="B14" s="326"/>
      <c r="C14" s="108">
        <v>43365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26"/>
      <c r="C15" s="108">
        <v>43363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31">
        <f t="shared" si="0"/>
        <v>9700</v>
      </c>
    </row>
    <row r="16" spans="1:12" s="1" customFormat="1" ht="15" thickBot="1" x14ac:dyDescent="0.4">
      <c r="A16" s="82">
        <v>7</v>
      </c>
      <c r="B16" s="326"/>
      <c r="C16" s="108">
        <v>43369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31">
        <f t="shared" si="0"/>
        <v>9700</v>
      </c>
    </row>
    <row r="17" spans="1:9" s="1" customFormat="1" ht="15" thickBot="1" x14ac:dyDescent="0.4">
      <c r="A17" s="82">
        <v>8</v>
      </c>
      <c r="B17" s="326"/>
      <c r="C17" s="108">
        <v>43370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31">
        <f t="shared" si="0"/>
        <v>9700</v>
      </c>
    </row>
    <row r="18" spans="1:9" s="1" customFormat="1" ht="15" thickBot="1" x14ac:dyDescent="0.4">
      <c r="A18" s="82">
        <v>9</v>
      </c>
      <c r="B18" s="326"/>
      <c r="C18" s="108">
        <v>43370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178">
        <v>0</v>
      </c>
      <c r="I18" s="31">
        <f t="shared" si="0"/>
        <v>9700</v>
      </c>
    </row>
    <row r="19" spans="1:9" s="1" customFormat="1" ht="15" thickBot="1" x14ac:dyDescent="0.4">
      <c r="A19" s="82">
        <v>10</v>
      </c>
      <c r="B19" s="326"/>
      <c r="C19" s="108">
        <v>43369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31">
        <f t="shared" si="0"/>
        <v>9700</v>
      </c>
    </row>
    <row r="20" spans="1:9" s="1" customFormat="1" ht="15" thickBot="1" x14ac:dyDescent="0.4">
      <c r="A20" s="82">
        <v>11</v>
      </c>
      <c r="B20" s="326"/>
      <c r="C20" s="108">
        <v>43368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31">
        <f t="shared" si="0"/>
        <v>9700</v>
      </c>
    </row>
    <row r="21" spans="1:9" s="1" customFormat="1" ht="15" thickBot="1" x14ac:dyDescent="0.4">
      <c r="A21" s="82">
        <v>12</v>
      </c>
      <c r="B21" s="326"/>
      <c r="C21" s="108">
        <v>43367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178">
        <v>0</v>
      </c>
      <c r="I21" s="31">
        <f t="shared" si="0"/>
        <v>9700</v>
      </c>
    </row>
    <row r="22" spans="1:9" s="1" customFormat="1" ht="15" thickBot="1" x14ac:dyDescent="0.4">
      <c r="A22" s="82">
        <v>13</v>
      </c>
      <c r="B22" s="326"/>
      <c r="C22" s="108">
        <v>43368</v>
      </c>
      <c r="D22" s="26">
        <v>830054076</v>
      </c>
      <c r="E22" s="27" t="str">
        <f>VLOOKUP(D22,[1]TERCEROS!$A$2:$C$4000,3,FALSE)</f>
        <v>FIDEICOMISOS SOCIEDAD FIDUCIARIA</v>
      </c>
      <c r="F22" s="28" t="s">
        <v>59</v>
      </c>
      <c r="G22" s="29">
        <v>9700</v>
      </c>
      <c r="H22" s="178">
        <v>0</v>
      </c>
      <c r="I22" s="31">
        <f t="shared" si="0"/>
        <v>9700</v>
      </c>
    </row>
    <row r="23" spans="1:9" s="1" customFormat="1" ht="15" thickBot="1" x14ac:dyDescent="0.4">
      <c r="A23" s="82">
        <v>14</v>
      </c>
      <c r="B23" s="326"/>
      <c r="C23" s="108">
        <v>43367</v>
      </c>
      <c r="D23" s="26">
        <v>830054076</v>
      </c>
      <c r="E23" s="27" t="str">
        <f>VLOOKUP(D23,[1]TERCEROS!$A$2:$C$4000,3,FALSE)</f>
        <v>FIDEICOMISOS SOCIEDAD FIDUCIARIA</v>
      </c>
      <c r="F23" s="28" t="s">
        <v>59</v>
      </c>
      <c r="G23" s="29">
        <v>9700</v>
      </c>
      <c r="H23" s="178">
        <v>0</v>
      </c>
      <c r="I23" s="31">
        <f t="shared" si="0"/>
        <v>9700</v>
      </c>
    </row>
    <row r="24" spans="1:9" s="1" customFormat="1" ht="15" thickBot="1" x14ac:dyDescent="0.4">
      <c r="A24" s="82">
        <v>15</v>
      </c>
      <c r="B24" s="326"/>
      <c r="C24" s="108">
        <v>43368</v>
      </c>
      <c r="D24" s="26">
        <v>830054076</v>
      </c>
      <c r="E24" s="27" t="str">
        <f>VLOOKUP(D24,[1]TERCEROS!$A$2:$C$4000,3,FALSE)</f>
        <v>FIDEICOMISOS SOCIEDAD FIDUCIARIA</v>
      </c>
      <c r="F24" s="28" t="s">
        <v>59</v>
      </c>
      <c r="G24" s="29">
        <v>9700</v>
      </c>
      <c r="H24" s="178">
        <v>0</v>
      </c>
      <c r="I24" s="31">
        <f t="shared" si="0"/>
        <v>9700</v>
      </c>
    </row>
    <row r="25" spans="1:9" s="1" customFormat="1" ht="15" thickBot="1" x14ac:dyDescent="0.4">
      <c r="A25" s="82">
        <v>16</v>
      </c>
      <c r="B25" s="326"/>
      <c r="C25" s="108">
        <v>43367</v>
      </c>
      <c r="D25" s="26">
        <v>830054076</v>
      </c>
      <c r="E25" s="27" t="str">
        <f>VLOOKUP(D25,[1]TERCEROS!$A$2:$C$4000,3,FALSE)</f>
        <v>FIDEICOMISOS SOCIEDAD FIDUCIARIA</v>
      </c>
      <c r="F25" s="28" t="s">
        <v>59</v>
      </c>
      <c r="G25" s="29">
        <v>9700</v>
      </c>
      <c r="H25" s="178">
        <v>0</v>
      </c>
      <c r="I25" s="31">
        <f t="shared" si="0"/>
        <v>9700</v>
      </c>
    </row>
    <row r="26" spans="1:9" s="1" customFormat="1" ht="15" thickBot="1" x14ac:dyDescent="0.4">
      <c r="A26" s="82">
        <v>17</v>
      </c>
      <c r="B26" s="326"/>
      <c r="C26" s="108">
        <v>43364</v>
      </c>
      <c r="D26" s="26">
        <v>830054076</v>
      </c>
      <c r="E26" s="27" t="str">
        <f>VLOOKUP(D26,[1]TERCEROS!$A$2:$C$4000,3,FALSE)</f>
        <v>FIDEICOMISOS SOCIEDAD FIDUCIARIA</v>
      </c>
      <c r="F26" s="28" t="s">
        <v>59</v>
      </c>
      <c r="G26" s="29">
        <v>9700</v>
      </c>
      <c r="H26" s="178">
        <v>0</v>
      </c>
      <c r="I26" s="31">
        <f t="shared" si="0"/>
        <v>9700</v>
      </c>
    </row>
    <row r="27" spans="1:9" s="1" customFormat="1" ht="15" thickBot="1" x14ac:dyDescent="0.4">
      <c r="A27" s="82">
        <v>18</v>
      </c>
      <c r="B27" s="326"/>
      <c r="C27" s="108">
        <v>43364</v>
      </c>
      <c r="D27" s="26">
        <v>830054076</v>
      </c>
      <c r="E27" s="27" t="str">
        <f>VLOOKUP(D27,[1]TERCEROS!$A$2:$C$4000,3,FALSE)</f>
        <v>FIDEICOMISOS SOCIEDAD FIDUCIARIA</v>
      </c>
      <c r="F27" s="28" t="s">
        <v>59</v>
      </c>
      <c r="G27" s="29">
        <v>9700</v>
      </c>
      <c r="H27" s="178">
        <v>0</v>
      </c>
      <c r="I27" s="31">
        <f t="shared" si="0"/>
        <v>9700</v>
      </c>
    </row>
    <row r="28" spans="1:9" s="1" customFormat="1" ht="15" thickBot="1" x14ac:dyDescent="0.4">
      <c r="A28" s="82">
        <v>19</v>
      </c>
      <c r="B28" s="326"/>
      <c r="C28" s="108">
        <v>43363</v>
      </c>
      <c r="D28" s="26">
        <v>830054076</v>
      </c>
      <c r="E28" s="27" t="str">
        <f>VLOOKUP(D28,[1]TERCEROS!$A$2:$C$4000,3,FALSE)</f>
        <v>FIDEICOMISOS SOCIEDAD FIDUCIARIA</v>
      </c>
      <c r="F28" s="28" t="s">
        <v>59</v>
      </c>
      <c r="G28" s="29">
        <v>9700</v>
      </c>
      <c r="H28" s="178">
        <v>0</v>
      </c>
      <c r="I28" s="31">
        <f t="shared" si="0"/>
        <v>9700</v>
      </c>
    </row>
    <row r="29" spans="1:9" s="1" customFormat="1" ht="15" thickBot="1" x14ac:dyDescent="0.4">
      <c r="A29" s="82">
        <v>20</v>
      </c>
      <c r="B29" s="326"/>
      <c r="C29" s="108">
        <v>43361</v>
      </c>
      <c r="D29" s="26">
        <v>830054076</v>
      </c>
      <c r="E29" s="27" t="str">
        <f>VLOOKUP(D29,[1]TERCEROS!$A$2:$C$4000,3,FALSE)</f>
        <v>FIDEICOMISOS SOCIEDAD FIDUCIARIA</v>
      </c>
      <c r="F29" s="28" t="s">
        <v>59</v>
      </c>
      <c r="G29" s="29">
        <v>9700</v>
      </c>
      <c r="H29" s="178">
        <v>0</v>
      </c>
      <c r="I29" s="31">
        <f t="shared" si="0"/>
        <v>9700</v>
      </c>
    </row>
    <row r="30" spans="1:9" s="1" customFormat="1" ht="15" thickBot="1" x14ac:dyDescent="0.4">
      <c r="A30" s="82">
        <v>21</v>
      </c>
      <c r="B30" s="326"/>
      <c r="C30" s="108">
        <v>43363</v>
      </c>
      <c r="D30" s="26">
        <v>830054076</v>
      </c>
      <c r="E30" s="27" t="str">
        <f>VLOOKUP(D30,[1]TERCEROS!$A$2:$C$4000,3,FALSE)</f>
        <v>FIDEICOMISOS SOCIEDAD FIDUCIARIA</v>
      </c>
      <c r="F30" s="28" t="s">
        <v>59</v>
      </c>
      <c r="G30" s="29">
        <v>9700</v>
      </c>
      <c r="H30" s="178">
        <v>0</v>
      </c>
      <c r="I30" s="31">
        <f t="shared" si="0"/>
        <v>9700</v>
      </c>
    </row>
    <row r="31" spans="1:9" s="1" customFormat="1" ht="15" thickBot="1" x14ac:dyDescent="0.4">
      <c r="A31" s="82">
        <v>22</v>
      </c>
      <c r="B31" s="326"/>
      <c r="C31" s="108">
        <v>43368</v>
      </c>
      <c r="D31" s="26">
        <v>830054076</v>
      </c>
      <c r="E31" s="27" t="str">
        <f>VLOOKUP(D31,[1]TERCEROS!$A$2:$C$4000,3,FALSE)</f>
        <v>FIDEICOMISOS SOCIEDAD FIDUCIARIA</v>
      </c>
      <c r="F31" s="28" t="s">
        <v>59</v>
      </c>
      <c r="G31" s="29">
        <v>9700</v>
      </c>
      <c r="H31" s="178">
        <v>0</v>
      </c>
      <c r="I31" s="31">
        <f t="shared" si="0"/>
        <v>9700</v>
      </c>
    </row>
    <row r="32" spans="1:9" s="1" customFormat="1" ht="15" thickBot="1" x14ac:dyDescent="0.4">
      <c r="A32" s="82">
        <v>23</v>
      </c>
      <c r="B32" s="326"/>
      <c r="C32" s="108">
        <v>43368</v>
      </c>
      <c r="D32" s="26">
        <v>830054076</v>
      </c>
      <c r="E32" s="27" t="str">
        <f>VLOOKUP(D32,[1]TERCEROS!$A$2:$C$4000,3,FALSE)</f>
        <v>FIDEICOMISOS SOCIEDAD FIDUCIARIA</v>
      </c>
      <c r="F32" s="28" t="s">
        <v>59</v>
      </c>
      <c r="G32" s="29">
        <v>9700</v>
      </c>
      <c r="H32" s="178">
        <v>0</v>
      </c>
      <c r="I32" s="31">
        <f t="shared" si="0"/>
        <v>9700</v>
      </c>
    </row>
    <row r="33" spans="1:9" s="1" customFormat="1" ht="15" thickBot="1" x14ac:dyDescent="0.4">
      <c r="A33" s="82">
        <v>24</v>
      </c>
      <c r="B33" s="326"/>
      <c r="C33" s="108">
        <v>43367</v>
      </c>
      <c r="D33" s="26">
        <v>830052626</v>
      </c>
      <c r="E33" s="27" t="s">
        <v>253</v>
      </c>
      <c r="F33" s="28" t="s">
        <v>34</v>
      </c>
      <c r="G33" s="29">
        <v>50000</v>
      </c>
      <c r="H33" s="178">
        <v>0</v>
      </c>
      <c r="I33" s="31">
        <f t="shared" si="0"/>
        <v>50000</v>
      </c>
    </row>
    <row r="34" spans="1:9" s="1" customFormat="1" ht="15" thickBot="1" x14ac:dyDescent="0.4">
      <c r="A34" s="82">
        <v>25</v>
      </c>
      <c r="B34" s="326"/>
      <c r="C34" s="108">
        <v>43367</v>
      </c>
      <c r="D34" s="26">
        <v>900953424</v>
      </c>
      <c r="E34" s="27" t="s">
        <v>83</v>
      </c>
      <c r="F34" s="28" t="s">
        <v>251</v>
      </c>
      <c r="G34" s="29">
        <v>177300</v>
      </c>
      <c r="H34" s="178">
        <v>0</v>
      </c>
      <c r="I34" s="31">
        <f t="shared" si="0"/>
        <v>177300</v>
      </c>
    </row>
    <row r="35" spans="1:9" s="1" customFormat="1" ht="15" thickBot="1" x14ac:dyDescent="0.4">
      <c r="A35" s="82">
        <v>26</v>
      </c>
      <c r="B35" s="326"/>
      <c r="C35" s="108">
        <v>43368</v>
      </c>
      <c r="D35" s="26">
        <v>891408584</v>
      </c>
      <c r="E35" s="27" t="str">
        <f>VLOOKUP(D35,[1]TERCEROS!$A$2:$C$4000,3,FALSE)</f>
        <v>FRISBY SA</v>
      </c>
      <c r="F35" s="28" t="s">
        <v>251</v>
      </c>
      <c r="G35" s="29">
        <v>133400</v>
      </c>
      <c r="H35" s="178">
        <v>0</v>
      </c>
      <c r="I35" s="31">
        <f t="shared" si="0"/>
        <v>133400</v>
      </c>
    </row>
    <row r="36" spans="1:9" s="1" customFormat="1" ht="15" thickBot="1" x14ac:dyDescent="0.4">
      <c r="A36" s="82">
        <v>27</v>
      </c>
      <c r="B36" s="326"/>
      <c r="C36" s="108">
        <v>43362</v>
      </c>
      <c r="D36" s="26">
        <v>830054076</v>
      </c>
      <c r="E36" s="27" t="str">
        <f>VLOOKUP(D36,[1]TERCEROS!$A$2:$C$4000,3,FALSE)</f>
        <v>FIDEICOMISOS SOCIEDAD FIDUCIARIA</v>
      </c>
      <c r="F36" s="28" t="s">
        <v>59</v>
      </c>
      <c r="G36" s="29">
        <v>9700</v>
      </c>
      <c r="H36" s="178">
        <v>0</v>
      </c>
      <c r="I36" s="31">
        <f t="shared" si="0"/>
        <v>9700</v>
      </c>
    </row>
    <row r="37" spans="1:9" s="1" customFormat="1" ht="15" thickBot="1" x14ac:dyDescent="0.4">
      <c r="A37" s="82">
        <v>28</v>
      </c>
      <c r="B37" s="326"/>
      <c r="C37" s="108">
        <v>43362</v>
      </c>
      <c r="D37" s="26">
        <v>830054076</v>
      </c>
      <c r="E37" s="27" t="str">
        <f>VLOOKUP(D37,[1]TERCEROS!$A$2:$C$4000,3,FALSE)</f>
        <v>FIDEICOMISOS SOCIEDAD FIDUCIARIA</v>
      </c>
      <c r="F37" s="28" t="s">
        <v>59</v>
      </c>
      <c r="G37" s="29">
        <v>9700</v>
      </c>
      <c r="H37" s="178">
        <v>0</v>
      </c>
      <c r="I37" s="31">
        <f t="shared" si="0"/>
        <v>9700</v>
      </c>
    </row>
    <row r="38" spans="1:9" s="1" customFormat="1" ht="15" thickBot="1" x14ac:dyDescent="0.4">
      <c r="A38" s="82">
        <v>29</v>
      </c>
      <c r="B38" s="326"/>
      <c r="C38" s="108">
        <v>43367</v>
      </c>
      <c r="D38" s="26">
        <v>830054076</v>
      </c>
      <c r="E38" s="27" t="str">
        <f>VLOOKUP(D38,[1]TERCEROS!$A$2:$C$4000,3,FALSE)</f>
        <v>FIDEICOMISOS SOCIEDAD FIDUCIARIA</v>
      </c>
      <c r="F38" s="28" t="s">
        <v>59</v>
      </c>
      <c r="G38" s="29">
        <v>9700</v>
      </c>
      <c r="H38" s="178">
        <v>0</v>
      </c>
      <c r="I38" s="31">
        <f t="shared" si="0"/>
        <v>9700</v>
      </c>
    </row>
    <row r="39" spans="1:9" s="1" customFormat="1" ht="15" thickBot="1" x14ac:dyDescent="0.4">
      <c r="A39" s="82">
        <v>30</v>
      </c>
      <c r="B39" s="326"/>
      <c r="C39" s="108">
        <v>43363</v>
      </c>
      <c r="D39" s="26">
        <v>11202446</v>
      </c>
      <c r="E39" s="27" t="str">
        <f>VLOOKUP(D39,[1]TERCEROS!$A$2:$C$4000,3,FALSE)</f>
        <v>CARLOS EMILIANO MARTINEZ CRISTANCHO</v>
      </c>
      <c r="F39" s="28" t="s">
        <v>39</v>
      </c>
      <c r="G39" s="29">
        <v>30000</v>
      </c>
      <c r="H39" s="178">
        <v>0</v>
      </c>
      <c r="I39" s="31">
        <f t="shared" si="0"/>
        <v>30000</v>
      </c>
    </row>
    <row r="40" spans="1:9" s="1" customFormat="1" ht="15" thickBot="1" x14ac:dyDescent="0.4">
      <c r="A40" s="82">
        <v>31</v>
      </c>
      <c r="B40" s="326"/>
      <c r="C40" s="108">
        <v>43367</v>
      </c>
      <c r="D40" s="26">
        <v>20993981</v>
      </c>
      <c r="E40" s="27" t="str">
        <f>VLOOKUP(D40,[1]TERCEROS!$A$2:$C$4000,3,FALSE)</f>
        <v>MARTA LUCIA GOMEZ HILARION</v>
      </c>
      <c r="F40" s="28" t="s">
        <v>39</v>
      </c>
      <c r="G40" s="29">
        <v>35000</v>
      </c>
      <c r="H40" s="178">
        <v>0</v>
      </c>
      <c r="I40" s="31">
        <f t="shared" si="0"/>
        <v>35000</v>
      </c>
    </row>
    <row r="41" spans="1:9" s="1" customFormat="1" ht="15" thickBot="1" x14ac:dyDescent="0.4">
      <c r="A41" s="82">
        <v>32</v>
      </c>
      <c r="B41" s="326"/>
      <c r="C41" s="108">
        <v>43357</v>
      </c>
      <c r="D41" s="26">
        <v>900491889</v>
      </c>
      <c r="E41" s="27" t="str">
        <f>VLOOKUP(D41,[1]TERCEROS!$A$2:$C$4000,3,FALSE)</f>
        <v>EDS TERMINAL NEIVA</v>
      </c>
      <c r="F41" s="28" t="s">
        <v>34</v>
      </c>
      <c r="G41" s="29">
        <v>50000</v>
      </c>
      <c r="H41" s="178">
        <v>0</v>
      </c>
      <c r="I41" s="31">
        <f t="shared" si="0"/>
        <v>50000</v>
      </c>
    </row>
    <row r="42" spans="1:9" s="1" customFormat="1" ht="15" thickBot="1" x14ac:dyDescent="0.4">
      <c r="A42" s="82">
        <v>33</v>
      </c>
      <c r="B42" s="326"/>
      <c r="C42" s="108">
        <v>43367</v>
      </c>
      <c r="D42" s="26">
        <v>830054076</v>
      </c>
      <c r="E42" s="27" t="str">
        <f>VLOOKUP(D42,[1]TERCEROS!$A$2:$C$4000,3,FALSE)</f>
        <v>FIDEICOMISOS SOCIEDAD FIDUCIARIA</v>
      </c>
      <c r="F42" s="28" t="s">
        <v>59</v>
      </c>
      <c r="G42" s="29">
        <v>9700</v>
      </c>
      <c r="H42" s="178">
        <v>0</v>
      </c>
      <c r="I42" s="31">
        <f t="shared" si="0"/>
        <v>9700</v>
      </c>
    </row>
    <row r="43" spans="1:9" s="1" customFormat="1" ht="15" thickBot="1" x14ac:dyDescent="0.4">
      <c r="A43" s="82">
        <v>34</v>
      </c>
      <c r="B43" s="326"/>
      <c r="C43" s="108">
        <v>43369</v>
      </c>
      <c r="D43" s="26">
        <v>900491889</v>
      </c>
      <c r="E43" s="27" t="str">
        <f>VLOOKUP(D43,[1]TERCEROS!$A$2:$C$4000,3,FALSE)</f>
        <v>EDS TERMINAL NEIVA</v>
      </c>
      <c r="F43" s="28" t="s">
        <v>254</v>
      </c>
      <c r="G43" s="29">
        <v>32100</v>
      </c>
      <c r="H43" s="178">
        <v>0</v>
      </c>
      <c r="I43" s="31">
        <f t="shared" si="0"/>
        <v>32100</v>
      </c>
    </row>
    <row r="44" spans="1:9" s="1" customFormat="1" ht="15" thickBot="1" x14ac:dyDescent="0.4">
      <c r="A44" s="82">
        <v>35</v>
      </c>
      <c r="B44" s="326"/>
      <c r="C44" s="108">
        <v>43364</v>
      </c>
      <c r="D44" s="26">
        <v>830081427</v>
      </c>
      <c r="E44" s="27" t="s">
        <v>255</v>
      </c>
      <c r="F44" s="28" t="s">
        <v>256</v>
      </c>
      <c r="G44" s="29">
        <v>93700</v>
      </c>
      <c r="H44" s="178">
        <v>0</v>
      </c>
      <c r="I44" s="31">
        <f t="shared" si="0"/>
        <v>93700</v>
      </c>
    </row>
    <row r="45" spans="1:9" s="1" customFormat="1" ht="15" thickBot="1" x14ac:dyDescent="0.4">
      <c r="A45" s="82">
        <v>36</v>
      </c>
      <c r="B45" s="326"/>
      <c r="C45" s="108">
        <v>43363</v>
      </c>
      <c r="D45" s="26">
        <v>1031138543</v>
      </c>
      <c r="E45" s="27" t="str">
        <f>VLOOKUP(D45,[1]TERCEROS!$A$2:$C$4000,3,FALSE)</f>
        <v>OSCAR EDUARDO VALENCIA</v>
      </c>
      <c r="F45" s="28" t="s">
        <v>222</v>
      </c>
      <c r="G45" s="29">
        <v>130000</v>
      </c>
      <c r="H45" s="178">
        <v>0</v>
      </c>
      <c r="I45" s="31">
        <f t="shared" si="0"/>
        <v>130000</v>
      </c>
    </row>
    <row r="46" spans="1:9" s="1" customFormat="1" ht="15" thickBot="1" x14ac:dyDescent="0.4">
      <c r="A46" s="82">
        <v>37</v>
      </c>
      <c r="B46" s="326"/>
      <c r="C46" s="108">
        <v>43367</v>
      </c>
      <c r="D46" s="26">
        <v>830107120</v>
      </c>
      <c r="E46" s="27" t="s">
        <v>257</v>
      </c>
      <c r="F46" s="28" t="s">
        <v>35</v>
      </c>
      <c r="G46" s="29">
        <v>1891</v>
      </c>
      <c r="H46" s="178">
        <f>G46*19%</f>
        <v>359.29</v>
      </c>
      <c r="I46" s="31">
        <f t="shared" si="0"/>
        <v>2250.29</v>
      </c>
    </row>
    <row r="47" spans="1:9" s="1" customFormat="1" ht="15" thickBot="1" x14ac:dyDescent="0.4">
      <c r="A47" s="82">
        <v>38</v>
      </c>
      <c r="B47" s="326"/>
      <c r="C47" s="108">
        <v>43368</v>
      </c>
      <c r="D47" s="26">
        <v>5463640</v>
      </c>
      <c r="E47" s="27" t="str">
        <f>VLOOKUP(D47,[1]TERCEROS!$A$2:$C$4000,3,FALSE)</f>
        <v>JAIRO GANDUR ABUABARA</v>
      </c>
      <c r="F47" s="28" t="s">
        <v>34</v>
      </c>
      <c r="G47" s="29">
        <v>114000</v>
      </c>
      <c r="H47" s="178">
        <v>0</v>
      </c>
      <c r="I47" s="31">
        <f t="shared" si="0"/>
        <v>114000</v>
      </c>
    </row>
    <row r="48" spans="1:9" s="1" customFormat="1" ht="15" thickBot="1" x14ac:dyDescent="0.4">
      <c r="A48" s="82">
        <v>39</v>
      </c>
      <c r="B48" s="326"/>
      <c r="C48" s="108">
        <v>43361</v>
      </c>
      <c r="D48" s="26">
        <v>830021423</v>
      </c>
      <c r="E48" s="27" t="s">
        <v>258</v>
      </c>
      <c r="F48" s="28" t="s">
        <v>35</v>
      </c>
      <c r="G48" s="29">
        <v>588</v>
      </c>
      <c r="H48" s="178">
        <f>G48*19%</f>
        <v>111.72</v>
      </c>
      <c r="I48" s="31">
        <f t="shared" si="0"/>
        <v>699.72</v>
      </c>
    </row>
    <row r="49" spans="1:9" s="1" customFormat="1" ht="15" thickBot="1" x14ac:dyDescent="0.4">
      <c r="A49" s="82">
        <v>40</v>
      </c>
      <c r="B49" s="326"/>
      <c r="C49" s="108">
        <v>43362</v>
      </c>
      <c r="D49" s="26">
        <v>1022421503</v>
      </c>
      <c r="E49" s="27" t="s">
        <v>176</v>
      </c>
      <c r="F49" s="28" t="s">
        <v>35</v>
      </c>
      <c r="G49" s="29">
        <v>2500</v>
      </c>
      <c r="H49" s="178">
        <v>0</v>
      </c>
      <c r="I49" s="31">
        <f t="shared" si="0"/>
        <v>2500</v>
      </c>
    </row>
    <row r="50" spans="1:9" s="1" customFormat="1" ht="15" thickBot="1" x14ac:dyDescent="0.4">
      <c r="A50" s="82">
        <v>41</v>
      </c>
      <c r="B50" s="326"/>
      <c r="C50" s="108">
        <v>43363</v>
      </c>
      <c r="D50" s="26">
        <v>1022421503</v>
      </c>
      <c r="E50" s="27" t="s">
        <v>176</v>
      </c>
      <c r="F50" s="28" t="s">
        <v>35</v>
      </c>
      <c r="G50" s="29">
        <v>2000</v>
      </c>
      <c r="H50" s="178">
        <v>0</v>
      </c>
      <c r="I50" s="31">
        <f t="shared" si="0"/>
        <v>2000</v>
      </c>
    </row>
    <row r="51" spans="1:9" s="1" customFormat="1" ht="15" thickBot="1" x14ac:dyDescent="0.4">
      <c r="A51" s="82">
        <v>42</v>
      </c>
      <c r="B51" s="326"/>
      <c r="C51" s="108">
        <v>43357</v>
      </c>
      <c r="D51" s="26">
        <v>1019049951</v>
      </c>
      <c r="E51" s="27" t="s">
        <v>259</v>
      </c>
      <c r="F51" s="28" t="s">
        <v>35</v>
      </c>
      <c r="G51" s="29">
        <v>2500</v>
      </c>
      <c r="H51" s="178">
        <v>0</v>
      </c>
      <c r="I51" s="31">
        <f t="shared" si="0"/>
        <v>2500</v>
      </c>
    </row>
    <row r="52" spans="1:9" s="1" customFormat="1" ht="15" thickBot="1" x14ac:dyDescent="0.4">
      <c r="A52" s="82">
        <v>43</v>
      </c>
      <c r="B52" s="326"/>
      <c r="C52" s="108">
        <v>43365</v>
      </c>
      <c r="D52" s="26">
        <v>1074184321</v>
      </c>
      <c r="E52" s="27" t="str">
        <f>VLOOKUP(D52,[1]TERCEROS!$A$2:$C$4000,3,FALSE)</f>
        <v>AUTOLAVADO Y PARQUEADERO SANTA JIMENA</v>
      </c>
      <c r="F52" s="28" t="s">
        <v>260</v>
      </c>
      <c r="G52" s="29">
        <v>25000</v>
      </c>
      <c r="H52" s="178">
        <v>0</v>
      </c>
      <c r="I52" s="31">
        <f t="shared" si="0"/>
        <v>25000</v>
      </c>
    </row>
    <row r="53" spans="1:9" s="1" customFormat="1" ht="15" thickBot="1" x14ac:dyDescent="0.4">
      <c r="A53" s="82">
        <v>44</v>
      </c>
      <c r="B53" s="326"/>
      <c r="C53" s="108">
        <v>43364</v>
      </c>
      <c r="D53" s="26">
        <v>900491889</v>
      </c>
      <c r="E53" s="27" t="str">
        <f>VLOOKUP(D53,[1]TERCEROS!$A$2:$C$4000,3,FALSE)</f>
        <v>EDS TERMINAL NEIVA</v>
      </c>
      <c r="F53" s="28" t="s">
        <v>34</v>
      </c>
      <c r="G53" s="29">
        <v>100000</v>
      </c>
      <c r="H53" s="178">
        <v>0</v>
      </c>
      <c r="I53" s="31">
        <f t="shared" si="0"/>
        <v>100000</v>
      </c>
    </row>
    <row r="54" spans="1:9" s="1" customFormat="1" ht="15" thickBot="1" x14ac:dyDescent="0.4">
      <c r="A54" s="82">
        <v>45</v>
      </c>
      <c r="B54" s="326"/>
      <c r="C54" s="108">
        <v>43369</v>
      </c>
      <c r="D54" s="26">
        <v>900906761</v>
      </c>
      <c r="E54" s="27" t="str">
        <f>VLOOKUP(D54,[1]TERCEROS!$A$2:$C$4000,3,FALSE)</f>
        <v>MOD COLOMBIA SAS</v>
      </c>
      <c r="F54" s="28" t="s">
        <v>34</v>
      </c>
      <c r="G54" s="29">
        <v>50000</v>
      </c>
      <c r="H54" s="178">
        <v>0</v>
      </c>
      <c r="I54" s="31">
        <f t="shared" si="0"/>
        <v>50000</v>
      </c>
    </row>
    <row r="55" spans="1:9" s="1" customFormat="1" ht="15" thickBot="1" x14ac:dyDescent="0.4">
      <c r="A55" s="82">
        <v>46</v>
      </c>
      <c r="B55" s="326"/>
      <c r="C55" s="108">
        <v>43369</v>
      </c>
      <c r="D55" s="26">
        <v>72151045</v>
      </c>
      <c r="E55" s="27" t="str">
        <f>VLOOKUP(D55,[1]TERCEROS!$A$2:$C$4000,3,FALSE)</f>
        <v>EDINSON ROMERO</v>
      </c>
      <c r="F55" s="28" t="s">
        <v>39</v>
      </c>
      <c r="G55" s="29">
        <v>14000</v>
      </c>
      <c r="H55" s="178">
        <v>0</v>
      </c>
      <c r="I55" s="31">
        <f t="shared" si="0"/>
        <v>14000</v>
      </c>
    </row>
    <row r="56" spans="1:9" s="1" customFormat="1" ht="15" thickBot="1" x14ac:dyDescent="0.4">
      <c r="A56" s="82">
        <v>47</v>
      </c>
      <c r="B56" s="326"/>
      <c r="C56" s="108">
        <v>43365</v>
      </c>
      <c r="D56" s="26">
        <v>900491889</v>
      </c>
      <c r="E56" s="27" t="str">
        <f>VLOOKUP(D56,[1]TERCEROS!$A$2:$C$4000,3,FALSE)</f>
        <v>EDS TERMINAL NEIVA</v>
      </c>
      <c r="F56" s="28" t="s">
        <v>34</v>
      </c>
      <c r="G56" s="29">
        <v>80000</v>
      </c>
      <c r="H56" s="178">
        <v>0</v>
      </c>
      <c r="I56" s="31">
        <f t="shared" si="0"/>
        <v>80000</v>
      </c>
    </row>
    <row r="57" spans="1:9" s="1" customFormat="1" ht="15" thickBot="1" x14ac:dyDescent="0.4">
      <c r="A57" s="82">
        <v>48</v>
      </c>
      <c r="B57" s="326"/>
      <c r="C57" s="108">
        <v>43368</v>
      </c>
      <c r="D57" s="26">
        <v>72151045</v>
      </c>
      <c r="E57" s="27" t="str">
        <f>VLOOKUP(D57,[1]TERCEROS!$A$2:$C$4000,3,FALSE)</f>
        <v>EDINSON ROMERO</v>
      </c>
      <c r="F57" s="28" t="s">
        <v>39</v>
      </c>
      <c r="G57" s="29">
        <v>15000</v>
      </c>
      <c r="H57" s="178">
        <v>0</v>
      </c>
      <c r="I57" s="31">
        <f t="shared" si="0"/>
        <v>15000</v>
      </c>
    </row>
    <row r="58" spans="1:9" s="1" customFormat="1" ht="15" thickBot="1" x14ac:dyDescent="0.4">
      <c r="A58" s="82">
        <v>49</v>
      </c>
      <c r="B58" s="326"/>
      <c r="C58" s="108">
        <v>43369</v>
      </c>
      <c r="D58" s="26">
        <v>72151045</v>
      </c>
      <c r="E58" s="27" t="str">
        <f>VLOOKUP(D58,[1]TERCEROS!$A$2:$C$4000,3,FALSE)</f>
        <v>EDINSON ROMERO</v>
      </c>
      <c r="F58" s="28" t="s">
        <v>39</v>
      </c>
      <c r="G58" s="29">
        <v>15000</v>
      </c>
      <c r="H58" s="178">
        <v>0</v>
      </c>
      <c r="I58" s="31">
        <f t="shared" si="0"/>
        <v>15000</v>
      </c>
    </row>
    <row r="59" spans="1:9" s="1" customFormat="1" ht="15" thickBot="1" x14ac:dyDescent="0.4">
      <c r="A59" s="82">
        <v>50</v>
      </c>
      <c r="B59" s="326"/>
      <c r="C59" s="108">
        <v>43367</v>
      </c>
      <c r="D59" s="26">
        <v>19297333</v>
      </c>
      <c r="E59" s="27" t="str">
        <f>VLOOKUP(D59,[1]TERCEROS!$A$2:$C$4000,3,FALSE)</f>
        <v>PULIDO ESCALANTE JAIME ALBERTO</v>
      </c>
      <c r="F59" s="28" t="s">
        <v>39</v>
      </c>
      <c r="G59" s="29">
        <v>45000</v>
      </c>
      <c r="H59" s="178">
        <v>0</v>
      </c>
      <c r="I59" s="31">
        <f t="shared" si="0"/>
        <v>45000</v>
      </c>
    </row>
    <row r="60" spans="1:9" s="1" customFormat="1" ht="15" thickBot="1" x14ac:dyDescent="0.4">
      <c r="A60" s="82">
        <v>51</v>
      </c>
      <c r="B60" s="326"/>
      <c r="C60" s="108">
        <v>43367</v>
      </c>
      <c r="D60" s="26">
        <v>19058780</v>
      </c>
      <c r="E60" s="27" t="str">
        <f>VLOOKUP(D60,[1]TERCEROS!$A$2:$C$4000,3,FALSE)</f>
        <v>RAMIREZ JULIO ENRIQUE</v>
      </c>
      <c r="F60" s="28" t="s">
        <v>261</v>
      </c>
      <c r="G60" s="29">
        <v>28000</v>
      </c>
      <c r="H60" s="178">
        <v>0</v>
      </c>
      <c r="I60" s="31">
        <f t="shared" si="0"/>
        <v>28000</v>
      </c>
    </row>
    <row r="61" spans="1:9" s="1" customFormat="1" ht="15" thickBot="1" x14ac:dyDescent="0.4">
      <c r="A61" s="82">
        <v>52</v>
      </c>
      <c r="B61" s="326"/>
      <c r="C61" s="108">
        <v>43369</v>
      </c>
      <c r="D61" s="26">
        <v>1077032709</v>
      </c>
      <c r="E61" s="27" t="s">
        <v>262</v>
      </c>
      <c r="F61" s="28" t="s">
        <v>263</v>
      </c>
      <c r="G61" s="29">
        <v>16219</v>
      </c>
      <c r="H61" s="178">
        <f>+G61*19%</f>
        <v>3081.61</v>
      </c>
      <c r="I61" s="31">
        <f t="shared" si="0"/>
        <v>19300.61</v>
      </c>
    </row>
    <row r="62" spans="1:9" s="1" customFormat="1" ht="15" thickBot="1" x14ac:dyDescent="0.4">
      <c r="A62" s="82">
        <v>53</v>
      </c>
      <c r="B62" s="326"/>
      <c r="C62" s="108">
        <v>43364</v>
      </c>
      <c r="D62" s="26">
        <v>16619476</v>
      </c>
      <c r="E62" s="27" t="s">
        <v>61</v>
      </c>
      <c r="F62" s="28" t="s">
        <v>264</v>
      </c>
      <c r="G62" s="29">
        <v>10680</v>
      </c>
      <c r="H62" s="178">
        <f>+G62*19%</f>
        <v>2029.2</v>
      </c>
      <c r="I62" s="31">
        <f t="shared" si="0"/>
        <v>12709.2</v>
      </c>
    </row>
    <row r="63" spans="1:9" s="1" customFormat="1" ht="15" thickBot="1" x14ac:dyDescent="0.4">
      <c r="A63" s="82">
        <v>54</v>
      </c>
      <c r="B63" s="326"/>
      <c r="C63" s="108">
        <v>43295</v>
      </c>
      <c r="D63" s="26">
        <v>860070886</v>
      </c>
      <c r="E63" s="27" t="s">
        <v>265</v>
      </c>
      <c r="F63" s="28" t="s">
        <v>68</v>
      </c>
      <c r="G63" s="29">
        <v>221359</v>
      </c>
      <c r="H63" s="178">
        <v>0</v>
      </c>
      <c r="I63" s="31">
        <f>IF($K$14=1,G63+H63,G63*H63)</f>
        <v>221359</v>
      </c>
    </row>
    <row r="64" spans="1:9" s="1" customFormat="1" ht="15" thickBot="1" x14ac:dyDescent="0.4">
      <c r="A64" s="82">
        <v>55</v>
      </c>
      <c r="B64" s="326"/>
      <c r="C64" s="108">
        <v>43307</v>
      </c>
      <c r="D64" s="26">
        <v>900491889</v>
      </c>
      <c r="E64" s="27" t="str">
        <f>VLOOKUP(D64,[1]TERCEROS!$A$2:$C$4000,3,FALSE)</f>
        <v>EDS TERMINAL NEIVA</v>
      </c>
      <c r="F64" s="28" t="s">
        <v>68</v>
      </c>
      <c r="G64" s="29">
        <v>13800</v>
      </c>
      <c r="H64" s="178">
        <v>0</v>
      </c>
      <c r="I64" s="31">
        <f t="shared" si="0"/>
        <v>13800</v>
      </c>
    </row>
    <row r="65" spans="1:9" s="1" customFormat="1" ht="15" thickBot="1" x14ac:dyDescent="0.4">
      <c r="A65" s="82">
        <v>56</v>
      </c>
      <c r="B65" s="326"/>
      <c r="C65" s="108">
        <v>43356</v>
      </c>
      <c r="D65" s="26">
        <v>900491889</v>
      </c>
      <c r="E65" s="27" t="str">
        <f>VLOOKUP(D65,[1]TERCEROS!$A$2:$C$4000,3,FALSE)</f>
        <v>EDS TERMINAL NEIVA</v>
      </c>
      <c r="F65" s="28" t="s">
        <v>68</v>
      </c>
      <c r="G65" s="29">
        <v>11300</v>
      </c>
      <c r="H65" s="178">
        <v>0</v>
      </c>
      <c r="I65" s="31">
        <f t="shared" si="0"/>
        <v>11300</v>
      </c>
    </row>
    <row r="66" spans="1:9" s="1" customFormat="1" ht="15" thickBot="1" x14ac:dyDescent="0.4">
      <c r="A66" s="82">
        <v>57</v>
      </c>
      <c r="B66" s="326"/>
      <c r="C66" s="108">
        <v>43313</v>
      </c>
      <c r="D66" s="26">
        <v>900491889</v>
      </c>
      <c r="E66" s="27" t="str">
        <f>VLOOKUP(D66,[1]TERCEROS!$A$2:$C$4000,3,FALSE)</f>
        <v>EDS TERMINAL NEIVA</v>
      </c>
      <c r="F66" s="28" t="s">
        <v>68</v>
      </c>
      <c r="G66" s="29">
        <v>13800</v>
      </c>
      <c r="H66" s="178">
        <v>0</v>
      </c>
      <c r="I66" s="31">
        <f t="shared" si="0"/>
        <v>13800</v>
      </c>
    </row>
    <row r="67" spans="1:9" s="1" customFormat="1" ht="15" thickBot="1" x14ac:dyDescent="0.4">
      <c r="A67" s="82">
        <v>58</v>
      </c>
      <c r="B67" s="326"/>
      <c r="C67" s="108">
        <v>43367</v>
      </c>
      <c r="D67" s="26">
        <v>860525814</v>
      </c>
      <c r="E67" s="27" t="str">
        <f>VLOOKUP(D67,[1]TERCEROS!$A$2:$C$4000,3,FALSE)</f>
        <v>TEXTILES MIRATEX SAS</v>
      </c>
      <c r="F67" s="28" t="s">
        <v>266</v>
      </c>
      <c r="G67" s="29">
        <v>50928</v>
      </c>
      <c r="H67" s="178">
        <v>0</v>
      </c>
      <c r="I67" s="31">
        <f t="shared" si="0"/>
        <v>50928</v>
      </c>
    </row>
    <row r="68" spans="1:9" s="1" customFormat="1" ht="15" thickBot="1" x14ac:dyDescent="0.4">
      <c r="A68" s="82">
        <v>59</v>
      </c>
      <c r="B68" s="326"/>
      <c r="C68" s="108">
        <v>43358</v>
      </c>
      <c r="D68" s="26">
        <v>800091165</v>
      </c>
      <c r="E68" s="27" t="s">
        <v>267</v>
      </c>
      <c r="F68" s="28" t="s">
        <v>35</v>
      </c>
      <c r="G68" s="29">
        <v>6000</v>
      </c>
      <c r="H68" s="178">
        <v>0</v>
      </c>
      <c r="I68" s="31">
        <f t="shared" si="0"/>
        <v>6000</v>
      </c>
    </row>
    <row r="69" spans="1:9" s="1" customFormat="1" ht="15" thickBot="1" x14ac:dyDescent="0.4">
      <c r="A69" s="82">
        <v>60</v>
      </c>
      <c r="B69" s="326"/>
      <c r="C69" s="108">
        <v>43359</v>
      </c>
      <c r="D69" s="26">
        <v>800091165</v>
      </c>
      <c r="E69" s="27" t="s">
        <v>267</v>
      </c>
      <c r="F69" s="28" t="s">
        <v>35</v>
      </c>
      <c r="G69" s="29">
        <v>6000</v>
      </c>
      <c r="H69" s="178">
        <v>0</v>
      </c>
      <c r="I69" s="31">
        <f t="shared" si="0"/>
        <v>6000</v>
      </c>
    </row>
    <row r="70" spans="1:9" s="1" customFormat="1" ht="15" thickBot="1" x14ac:dyDescent="0.4">
      <c r="A70" s="82">
        <v>61</v>
      </c>
      <c r="B70" s="326"/>
      <c r="C70" s="108">
        <v>43358</v>
      </c>
      <c r="D70" s="26">
        <v>900527685</v>
      </c>
      <c r="E70" s="27" t="s">
        <v>268</v>
      </c>
      <c r="F70" s="28" t="s">
        <v>35</v>
      </c>
      <c r="G70" s="29">
        <v>3100</v>
      </c>
      <c r="H70" s="178">
        <v>0</v>
      </c>
      <c r="I70" s="31">
        <f t="shared" si="0"/>
        <v>3100</v>
      </c>
    </row>
    <row r="71" spans="1:9" s="1" customFormat="1" ht="15" thickBot="1" x14ac:dyDescent="0.4">
      <c r="A71" s="82">
        <v>62</v>
      </c>
      <c r="B71" s="326"/>
      <c r="C71" s="108">
        <v>43360</v>
      </c>
      <c r="D71" s="26">
        <v>830087099</v>
      </c>
      <c r="E71" s="27" t="str">
        <f>VLOOKUP(D71,[1]TERCEROS!$A$2:$C$4000,3,FALSE)</f>
        <v>CENTRAL PARKING SYSTEM COL LTDA</v>
      </c>
      <c r="F71" s="28" t="s">
        <v>35</v>
      </c>
      <c r="G71" s="29">
        <v>3050</v>
      </c>
      <c r="H71" s="178">
        <v>0</v>
      </c>
      <c r="I71" s="31">
        <f t="shared" si="0"/>
        <v>3050</v>
      </c>
    </row>
    <row r="72" spans="1:9" s="1" customFormat="1" ht="15" thickBot="1" x14ac:dyDescent="0.4">
      <c r="A72" s="82">
        <v>63</v>
      </c>
      <c r="B72" s="326"/>
      <c r="C72" s="108">
        <v>43357</v>
      </c>
      <c r="D72" s="26">
        <v>830054076</v>
      </c>
      <c r="E72" s="27" t="str">
        <f>VLOOKUP(D72,[1]TERCEROS!$A$2:$C$4000,3,FALSE)</f>
        <v>FIDEICOMISOS SOCIEDAD FIDUCIARIA</v>
      </c>
      <c r="F72" s="28" t="s">
        <v>59</v>
      </c>
      <c r="G72" s="29">
        <v>9700</v>
      </c>
      <c r="H72" s="178">
        <v>0</v>
      </c>
      <c r="I72" s="31">
        <f t="shared" si="0"/>
        <v>9700</v>
      </c>
    </row>
    <row r="73" spans="1:9" s="1" customFormat="1" ht="15" thickBot="1" x14ac:dyDescent="0.4">
      <c r="A73" s="82">
        <v>64</v>
      </c>
      <c r="B73" s="326"/>
      <c r="C73" s="108">
        <v>43356</v>
      </c>
      <c r="D73" s="26">
        <v>900491889</v>
      </c>
      <c r="E73" s="27" t="str">
        <f>VLOOKUP(D73,[1]TERCEROS!$A$2:$C$4000,3,FALSE)</f>
        <v>EDS TERMINAL NEIVA</v>
      </c>
      <c r="F73" s="28" t="s">
        <v>34</v>
      </c>
      <c r="G73" s="29">
        <v>50000</v>
      </c>
      <c r="H73" s="178">
        <v>0</v>
      </c>
      <c r="I73" s="31">
        <f t="shared" si="0"/>
        <v>50000</v>
      </c>
    </row>
    <row r="74" spans="1:9" s="1" customFormat="1" ht="15" thickBot="1" x14ac:dyDescent="0.4">
      <c r="A74" s="82">
        <v>65</v>
      </c>
      <c r="B74" s="326"/>
      <c r="C74" s="108">
        <v>43356</v>
      </c>
      <c r="D74" s="26">
        <v>830054076</v>
      </c>
      <c r="E74" s="27" t="str">
        <f>VLOOKUP(D74,[1]TERCEROS!$A$2:$C$4000,3,FALSE)</f>
        <v>FIDEICOMISOS SOCIEDAD FIDUCIARIA</v>
      </c>
      <c r="F74" s="28" t="s">
        <v>59</v>
      </c>
      <c r="G74" s="29">
        <v>9700</v>
      </c>
      <c r="H74" s="178">
        <v>0</v>
      </c>
      <c r="I74" s="31">
        <f t="shared" si="0"/>
        <v>9700</v>
      </c>
    </row>
    <row r="75" spans="1:9" s="1" customFormat="1" ht="15" thickBot="1" x14ac:dyDescent="0.4">
      <c r="A75" s="82">
        <v>66</v>
      </c>
      <c r="B75" s="326"/>
      <c r="C75" s="108">
        <v>43356</v>
      </c>
      <c r="D75" s="26">
        <v>72151045</v>
      </c>
      <c r="E75" s="27" t="str">
        <f>VLOOKUP(D75,[1]TERCEROS!$A$2:$C$4000,3,FALSE)</f>
        <v>EDINSON ROMERO</v>
      </c>
      <c r="F75" s="28" t="s">
        <v>39</v>
      </c>
      <c r="G75" s="29">
        <v>15000</v>
      </c>
      <c r="H75" s="178"/>
      <c r="I75" s="31">
        <f t="shared" si="0"/>
        <v>15000</v>
      </c>
    </row>
    <row r="76" spans="1:9" s="1" customFormat="1" ht="15" thickBot="1" x14ac:dyDescent="0.4">
      <c r="A76" s="82">
        <v>67</v>
      </c>
      <c r="B76" s="326"/>
      <c r="C76" s="108">
        <v>43361</v>
      </c>
      <c r="D76" s="26">
        <v>890107487</v>
      </c>
      <c r="E76" s="27" t="str">
        <f>VLOOKUP(D76,[1]TERCEROS!$A$2:$C$4000,3,FALSE)</f>
        <v>OLIMPICA SA</v>
      </c>
      <c r="F76" s="28" t="s">
        <v>269</v>
      </c>
      <c r="G76" s="29">
        <v>10000</v>
      </c>
      <c r="H76" s="178"/>
      <c r="I76" s="31">
        <f t="shared" si="0"/>
        <v>10000</v>
      </c>
    </row>
    <row r="77" spans="1:9" s="1" customFormat="1" ht="15" thickBot="1" x14ac:dyDescent="0.4">
      <c r="A77" s="82">
        <v>68</v>
      </c>
      <c r="B77" s="326"/>
      <c r="C77" s="108">
        <v>43367</v>
      </c>
      <c r="D77" s="26">
        <v>72233157</v>
      </c>
      <c r="E77" s="27" t="str">
        <f>VLOOKUP(D77,[1]TERCEROS!$A$2:$C$4000,3,FALSE)</f>
        <v>JOHNY STERLING LAVERDE MORALES</v>
      </c>
      <c r="F77" s="28" t="s">
        <v>270</v>
      </c>
      <c r="G77" s="29">
        <v>100000</v>
      </c>
      <c r="H77" s="178"/>
      <c r="I77" s="31">
        <f t="shared" si="0"/>
        <v>100000</v>
      </c>
    </row>
    <row r="78" spans="1:9" s="1" customFormat="1" ht="15" thickBot="1" x14ac:dyDescent="0.4">
      <c r="A78" s="82">
        <v>69</v>
      </c>
      <c r="B78" s="326"/>
      <c r="C78" s="108">
        <v>43345</v>
      </c>
      <c r="D78" s="26">
        <v>30972078</v>
      </c>
      <c r="E78" s="27" t="s">
        <v>271</v>
      </c>
      <c r="F78" s="28" t="s">
        <v>272</v>
      </c>
      <c r="G78" s="29">
        <v>15000</v>
      </c>
      <c r="H78" s="178"/>
      <c r="I78" s="31">
        <f t="shared" si="0"/>
        <v>15000</v>
      </c>
    </row>
    <row r="79" spans="1:9" s="1" customFormat="1" ht="15" thickBot="1" x14ac:dyDescent="0.4">
      <c r="A79" s="82"/>
      <c r="B79" s="195"/>
      <c r="C79" s="132">
        <v>43369</v>
      </c>
      <c r="D79" s="91">
        <v>900754508</v>
      </c>
      <c r="E79" s="92" t="s">
        <v>40</v>
      </c>
      <c r="F79" s="86" t="s">
        <v>120</v>
      </c>
      <c r="G79" s="87">
        <v>142500</v>
      </c>
      <c r="H79" s="180"/>
      <c r="I79" s="89">
        <f t="shared" si="0"/>
        <v>142500</v>
      </c>
    </row>
    <row r="80" spans="1:9" s="1" customFormat="1" ht="15" thickBot="1" x14ac:dyDescent="0.4">
      <c r="A80" s="82">
        <v>70</v>
      </c>
      <c r="B80" s="195"/>
      <c r="C80" s="109">
        <v>43370</v>
      </c>
      <c r="D80" s="110">
        <v>800242106</v>
      </c>
      <c r="E80" s="111" t="str">
        <f>VLOOKUP(D80,[1]TERCEROS!$A$2:$C$4000,3,FALSE)</f>
        <v>HOMCENTER SODIMAC CORONA S.A.</v>
      </c>
      <c r="F80" s="112" t="s">
        <v>281</v>
      </c>
      <c r="G80" s="113">
        <v>37731</v>
      </c>
      <c r="H80" s="179">
        <f>+G80*19%</f>
        <v>7168.89</v>
      </c>
      <c r="I80" s="115">
        <f t="shared" si="0"/>
        <v>44899.89</v>
      </c>
    </row>
    <row r="81" spans="1:37" s="1" customFormat="1" ht="15" thickBot="1" x14ac:dyDescent="0.4">
      <c r="A81" s="82">
        <v>71</v>
      </c>
      <c r="B81" s="9" t="s">
        <v>49</v>
      </c>
      <c r="C81" s="134">
        <v>43361</v>
      </c>
      <c r="D81" s="135">
        <v>800097424</v>
      </c>
      <c r="E81" s="136" t="str">
        <f>VLOOKUP(D81,[1]TERCEROS!$A$2:$C$4000,3,FALSE)</f>
        <v>DISTRIBUIDORA LA PUNTA LTDA</v>
      </c>
      <c r="F81" s="137" t="s">
        <v>273</v>
      </c>
      <c r="G81" s="138">
        <v>9739</v>
      </c>
      <c r="H81" s="181">
        <f>+G81*19%</f>
        <v>1850.41</v>
      </c>
      <c r="I81" s="140">
        <f t="shared" si="0"/>
        <v>11589.41</v>
      </c>
    </row>
    <row r="82" spans="1:37" s="1" customFormat="1" ht="15" thickBot="1" x14ac:dyDescent="0.4">
      <c r="A82" s="82">
        <v>72</v>
      </c>
      <c r="B82" s="326" t="s">
        <v>274</v>
      </c>
      <c r="C82" s="107">
        <v>43367</v>
      </c>
      <c r="D82" s="17">
        <v>52978126</v>
      </c>
      <c r="E82" s="18" t="s">
        <v>275</v>
      </c>
      <c r="F82" s="19" t="s">
        <v>276</v>
      </c>
      <c r="G82" s="20">
        <v>45200</v>
      </c>
      <c r="H82" s="177"/>
      <c r="I82" s="22">
        <f t="shared" si="0"/>
        <v>45200</v>
      </c>
    </row>
    <row r="83" spans="1:37" s="1" customFormat="1" ht="15" thickBot="1" x14ac:dyDescent="0.4">
      <c r="A83" s="82">
        <v>73</v>
      </c>
      <c r="B83" s="326"/>
      <c r="C83" s="132">
        <v>43367</v>
      </c>
      <c r="D83" s="91">
        <v>80173451</v>
      </c>
      <c r="E83" s="92" t="str">
        <f>VLOOKUP(D83,[1]TERCEROS!$A$2:$C$4000,3,FALSE)</f>
        <v>CARO RIVERA JUAN CARLOS</v>
      </c>
      <c r="F83" s="86" t="s">
        <v>277</v>
      </c>
      <c r="G83" s="87">
        <v>375000</v>
      </c>
      <c r="H83" s="180"/>
      <c r="I83" s="89">
        <f t="shared" si="0"/>
        <v>375000</v>
      </c>
    </row>
    <row r="84" spans="1:37" s="1" customFormat="1" ht="18.75" customHeight="1" thickBot="1" x14ac:dyDescent="0.4">
      <c r="A84" s="82">
        <v>74</v>
      </c>
      <c r="B84" s="340" t="s">
        <v>278</v>
      </c>
      <c r="C84" s="107">
        <v>43369</v>
      </c>
      <c r="D84" s="17">
        <v>72151045</v>
      </c>
      <c r="E84" s="18" t="str">
        <f>VLOOKUP(D84,[1]TERCEROS!$A$2:$C$4000,3,FALSE)</f>
        <v>EDINSON ROMERO</v>
      </c>
      <c r="F84" s="19" t="s">
        <v>279</v>
      </c>
      <c r="G84" s="20">
        <v>32292</v>
      </c>
      <c r="H84" s="177">
        <v>0</v>
      </c>
      <c r="I84" s="22">
        <f t="shared" si="0"/>
        <v>32292</v>
      </c>
    </row>
    <row r="85" spans="1:37" s="1" customFormat="1" ht="18.75" customHeight="1" thickBot="1" x14ac:dyDescent="0.4">
      <c r="A85" s="82">
        <v>75</v>
      </c>
      <c r="B85" s="341"/>
      <c r="C85" s="108">
        <v>43346</v>
      </c>
      <c r="D85" s="26">
        <v>1019019608</v>
      </c>
      <c r="E85" s="27" t="str">
        <f>VLOOKUP(D85,[1]TERCEROS!$A$2:$C$4000,3,FALSE)</f>
        <v>LUIS ANDRES BAYONA</v>
      </c>
      <c r="F85" s="28" t="s">
        <v>280</v>
      </c>
      <c r="G85" s="29">
        <v>42000</v>
      </c>
      <c r="H85" s="178"/>
      <c r="I85" s="31">
        <f t="shared" si="0"/>
        <v>42000</v>
      </c>
    </row>
    <row r="86" spans="1:37" s="1" customFormat="1" ht="18.75" customHeight="1" thickBot="1" x14ac:dyDescent="0.4">
      <c r="A86" s="82">
        <v>76</v>
      </c>
      <c r="B86" s="346"/>
      <c r="C86" s="109">
        <v>43368</v>
      </c>
      <c r="D86" s="110">
        <v>17146359</v>
      </c>
      <c r="E86" s="111" t="str">
        <f>VLOOKUP(D86,[1]TERCEROS!$A$2:$C$4000,3,FALSE)</f>
        <v>CARLOS ALBERTO HUERTAS</v>
      </c>
      <c r="F86" s="112" t="s">
        <v>282</v>
      </c>
      <c r="G86" s="113">
        <v>200000</v>
      </c>
      <c r="H86" s="179"/>
      <c r="I86" s="115">
        <f t="shared" si="0"/>
        <v>200000</v>
      </c>
    </row>
    <row r="87" spans="1:37" s="1" customFormat="1" ht="18.75" customHeight="1" thickBot="1" x14ac:dyDescent="0.4">
      <c r="A87" s="195"/>
      <c r="B87" s="182"/>
      <c r="C87" s="183"/>
      <c r="D87" s="184"/>
      <c r="E87" s="185"/>
      <c r="F87" s="186"/>
      <c r="G87" s="187"/>
      <c r="H87" s="188"/>
      <c r="I87" s="189"/>
    </row>
    <row r="88" spans="1:37" s="2" customFormat="1" ht="15.75" customHeight="1" thickBot="1" x14ac:dyDescent="0.4">
      <c r="A88" s="335" t="s">
        <v>252</v>
      </c>
      <c r="B88" s="329"/>
      <c r="C88" s="329"/>
      <c r="D88" s="329"/>
      <c r="E88" s="330"/>
      <c r="F88" s="93" t="s">
        <v>24</v>
      </c>
      <c r="G88" s="94">
        <f>SUM(G10:G86)</f>
        <v>2938977</v>
      </c>
      <c r="H88" s="94"/>
      <c r="I88" s="94">
        <f>SUM(I10:I86)</f>
        <v>2953578.1200000006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2" customFormat="1" ht="15" customHeight="1" x14ac:dyDescent="0.35">
      <c r="A89" s="300" t="s">
        <v>26</v>
      </c>
      <c r="B89" s="301"/>
      <c r="C89" s="301"/>
      <c r="D89" s="306" t="s">
        <v>58</v>
      </c>
      <c r="E89" s="307"/>
      <c r="F89" s="312"/>
      <c r="G89" s="315" t="s">
        <v>16</v>
      </c>
      <c r="H89" s="316"/>
      <c r="I89" s="35">
        <v>3000000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s="2" customFormat="1" ht="15" customHeight="1" x14ac:dyDescent="0.35">
      <c r="A90" s="302"/>
      <c r="B90" s="303"/>
      <c r="C90" s="303"/>
      <c r="D90" s="308"/>
      <c r="E90" s="309"/>
      <c r="F90" s="313"/>
      <c r="G90" s="317" t="s">
        <v>17</v>
      </c>
      <c r="H90" s="318"/>
      <c r="I90" s="36">
        <f>+I89-I88</f>
        <v>46421.879999999423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s="1" customFormat="1" ht="15.75" customHeight="1" thickBot="1" x14ac:dyDescent="0.4">
      <c r="A91" s="304"/>
      <c r="B91" s="305"/>
      <c r="C91" s="305"/>
      <c r="D91" s="310"/>
      <c r="E91" s="311"/>
      <c r="F91" s="314"/>
      <c r="G91" s="289" t="s">
        <v>5</v>
      </c>
      <c r="H91" s="290"/>
      <c r="I91" s="37">
        <f>+I89-I90</f>
        <v>2953578.1200000006</v>
      </c>
    </row>
    <row r="92" spans="1:37" s="1" customFormat="1" ht="15" thickBot="1" x14ac:dyDescent="0.4">
      <c r="A92" s="291" t="s">
        <v>25</v>
      </c>
      <c r="B92" s="292"/>
      <c r="C92" s="292"/>
      <c r="D92" s="293"/>
      <c r="E92" s="38"/>
      <c r="F92" s="38"/>
      <c r="G92" s="38"/>
      <c r="H92" s="38"/>
      <c r="I92" s="39"/>
    </row>
    <row r="93" spans="1:37" s="1" customFormat="1" ht="15" thickBot="1" x14ac:dyDescent="0.4">
      <c r="A93" s="40"/>
      <c r="B93" s="41" t="s">
        <v>6</v>
      </c>
      <c r="C93" s="42">
        <f>D108</f>
        <v>46400</v>
      </c>
      <c r="D93" s="39"/>
      <c r="E93" s="43">
        <f>C93+C95+I88</f>
        <v>2999978.1200000006</v>
      </c>
      <c r="F93" s="43"/>
      <c r="G93" s="38"/>
      <c r="H93" s="38"/>
      <c r="I93" s="44"/>
    </row>
    <row r="94" spans="1:37" s="1" customFormat="1" ht="15" thickBot="1" x14ac:dyDescent="0.4">
      <c r="A94" s="40"/>
      <c r="B94" s="41"/>
      <c r="C94" s="45"/>
      <c r="D94" s="39"/>
      <c r="E94" s="43">
        <f>+E93-I89</f>
        <v>-21.87999999942258</v>
      </c>
      <c r="F94" s="38"/>
      <c r="G94" s="38"/>
      <c r="H94" s="38"/>
      <c r="I94" s="39"/>
    </row>
    <row r="95" spans="1:37" s="1" customFormat="1" ht="15" thickBot="1" x14ac:dyDescent="0.4">
      <c r="A95" s="40"/>
      <c r="B95" s="47" t="s">
        <v>7</v>
      </c>
      <c r="C95" s="45">
        <f>SUM(C94:C94)</f>
        <v>0</v>
      </c>
      <c r="D95" s="39"/>
      <c r="E95" s="48"/>
      <c r="F95" s="48"/>
      <c r="G95" s="48"/>
      <c r="H95" s="48"/>
      <c r="I95" s="49"/>
    </row>
    <row r="96" spans="1:37" s="1" customFormat="1" ht="15" thickBot="1" x14ac:dyDescent="0.4">
      <c r="A96" s="40"/>
      <c r="B96" s="50"/>
      <c r="C96" s="51"/>
      <c r="D96" s="39"/>
      <c r="E96" s="48"/>
      <c r="F96" s="48"/>
      <c r="G96" s="48"/>
      <c r="H96" s="48"/>
      <c r="I96" s="49"/>
    </row>
    <row r="97" spans="1:37" s="1" customFormat="1" ht="15" thickBot="1" x14ac:dyDescent="0.4">
      <c r="A97" s="40"/>
      <c r="B97" s="52"/>
      <c r="C97" s="53" t="s">
        <v>11</v>
      </c>
      <c r="D97" s="54" t="s">
        <v>4</v>
      </c>
      <c r="E97" s="38"/>
      <c r="F97" s="55"/>
      <c r="G97" s="38"/>
      <c r="H97" s="38"/>
      <c r="I97" s="39"/>
    </row>
    <row r="98" spans="1:37" s="1" customFormat="1" ht="14.5" x14ac:dyDescent="0.35">
      <c r="A98" s="40"/>
      <c r="B98" s="56"/>
      <c r="C98" s="57">
        <v>50000</v>
      </c>
      <c r="D98" s="58">
        <f t="shared" ref="D98:D107" si="1">+C98*B98</f>
        <v>0</v>
      </c>
      <c r="E98" s="192" t="s">
        <v>29</v>
      </c>
      <c r="F98" s="60" t="s">
        <v>27</v>
      </c>
      <c r="G98" s="294" t="s">
        <v>28</v>
      </c>
      <c r="H98" s="294"/>
      <c r="I98" s="295"/>
    </row>
    <row r="99" spans="1:37" s="5" customFormat="1" ht="15" customHeight="1" x14ac:dyDescent="0.35">
      <c r="A99" s="40"/>
      <c r="B99" s="62">
        <v>2</v>
      </c>
      <c r="C99" s="63">
        <v>20000</v>
      </c>
      <c r="D99" s="58">
        <f t="shared" si="1"/>
        <v>40000</v>
      </c>
      <c r="E99" s="190" t="s">
        <v>19</v>
      </c>
      <c r="F99" s="190" t="s">
        <v>20</v>
      </c>
      <c r="G99" s="296" t="s">
        <v>21</v>
      </c>
      <c r="H99" s="296"/>
      <c r="I99" s="29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s="5" customFormat="1" ht="15" customHeight="1" x14ac:dyDescent="0.35">
      <c r="A100" s="40"/>
      <c r="B100" s="62"/>
      <c r="C100" s="63">
        <v>10000</v>
      </c>
      <c r="D100" s="58">
        <f t="shared" si="1"/>
        <v>0</v>
      </c>
      <c r="E100" s="191" t="s">
        <v>79</v>
      </c>
      <c r="F100" s="191" t="s">
        <v>80</v>
      </c>
      <c r="G100" s="298" t="s">
        <v>81</v>
      </c>
      <c r="H100" s="298"/>
      <c r="I100" s="29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s="5" customFormat="1" ht="15" customHeight="1" x14ac:dyDescent="0.35">
      <c r="A101" s="40"/>
      <c r="B101" s="62">
        <v>1</v>
      </c>
      <c r="C101" s="63">
        <v>5000</v>
      </c>
      <c r="D101" s="58">
        <f t="shared" si="1"/>
        <v>5000</v>
      </c>
      <c r="E101" s="38" t="s">
        <v>0</v>
      </c>
      <c r="F101" s="38"/>
      <c r="G101" s="38"/>
      <c r="H101" s="38"/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s="5" customFormat="1" ht="15" customHeight="1" x14ac:dyDescent="0.35">
      <c r="A102" s="40"/>
      <c r="B102" s="62"/>
      <c r="C102" s="63">
        <v>2000</v>
      </c>
      <c r="D102" s="58">
        <f t="shared" si="1"/>
        <v>0</v>
      </c>
      <c r="E102" s="38"/>
      <c r="F102" s="38" t="s">
        <v>8</v>
      </c>
      <c r="G102" s="38"/>
      <c r="H102" s="38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s="5" customFormat="1" ht="15" customHeight="1" x14ac:dyDescent="0.35">
      <c r="A103" s="40"/>
      <c r="B103" s="62"/>
      <c r="C103" s="63">
        <v>1000</v>
      </c>
      <c r="D103" s="58">
        <f t="shared" si="1"/>
        <v>0</v>
      </c>
      <c r="E103" s="38"/>
      <c r="F103" s="38"/>
      <c r="G103" s="38"/>
      <c r="H103" s="38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1" customFormat="1" ht="15" customHeight="1" x14ac:dyDescent="0.35">
      <c r="A104" s="40"/>
      <c r="B104" s="62"/>
      <c r="C104" s="63">
        <v>500</v>
      </c>
      <c r="D104" s="58">
        <f t="shared" si="1"/>
        <v>0</v>
      </c>
      <c r="E104" s="38"/>
      <c r="F104" s="38"/>
      <c r="G104" s="38"/>
      <c r="H104" s="38"/>
      <c r="I104" s="39"/>
    </row>
    <row r="105" spans="1:37" s="1" customFormat="1" ht="15" customHeight="1" x14ac:dyDescent="0.35">
      <c r="A105" s="40"/>
      <c r="B105" s="62">
        <v>7</v>
      </c>
      <c r="C105" s="63">
        <v>200</v>
      </c>
      <c r="D105" s="58">
        <f t="shared" si="1"/>
        <v>1400</v>
      </c>
      <c r="E105" s="38"/>
      <c r="F105" s="38"/>
      <c r="G105" s="38"/>
      <c r="H105" s="38"/>
      <c r="I105" s="39"/>
    </row>
    <row r="106" spans="1:37" s="1" customFormat="1" ht="15" customHeight="1" x14ac:dyDescent="0.35">
      <c r="A106" s="40"/>
      <c r="B106" s="62"/>
      <c r="C106" s="63">
        <v>100</v>
      </c>
      <c r="D106" s="58">
        <f>+C106*B106</f>
        <v>0</v>
      </c>
      <c r="E106" s="38"/>
      <c r="F106" s="38"/>
      <c r="G106" s="38"/>
      <c r="H106" s="38"/>
      <c r="I106" s="39"/>
    </row>
    <row r="107" spans="1:37" s="5" customFormat="1" ht="15" customHeight="1" thickBot="1" x14ac:dyDescent="0.4">
      <c r="A107" s="40"/>
      <c r="B107" s="68"/>
      <c r="C107" s="69">
        <v>50</v>
      </c>
      <c r="D107" s="58">
        <f t="shared" si="1"/>
        <v>0</v>
      </c>
      <c r="E107" s="38"/>
      <c r="F107" s="38"/>
      <c r="G107" s="38"/>
      <c r="H107" s="38"/>
      <c r="I107" s="3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s="1" customFormat="1" ht="15" customHeight="1" thickBot="1" x14ac:dyDescent="0.4">
      <c r="A108" s="40"/>
      <c r="B108" s="192"/>
      <c r="C108" s="70"/>
      <c r="D108" s="71">
        <f>SUM(D98:D107)</f>
        <v>46400</v>
      </c>
      <c r="E108" s="38"/>
      <c r="F108" s="38"/>
      <c r="G108" s="38"/>
      <c r="H108" s="38"/>
      <c r="I108" s="39"/>
    </row>
    <row r="109" spans="1:37" s="5" customFormat="1" ht="15" customHeight="1" thickBot="1" x14ac:dyDescent="0.4">
      <c r="A109" s="72"/>
      <c r="B109" s="73"/>
      <c r="C109" s="74"/>
      <c r="D109" s="75"/>
      <c r="E109" s="76"/>
      <c r="F109" s="76"/>
      <c r="G109" s="76"/>
      <c r="H109" s="76"/>
      <c r="I109" s="7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s="5" customFormat="1" ht="22.5" customHeight="1" x14ac:dyDescent="0.35">
      <c r="A110" s="1"/>
      <c r="B110"/>
      <c r="C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s="3" customFormat="1" ht="22.5" customHeight="1" x14ac:dyDescent="0.35">
      <c r="A111"/>
      <c r="B111"/>
      <c r="C111" s="6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 s="3" customFormat="1" ht="22.5" customHeight="1" x14ac:dyDescent="0.35">
      <c r="A112"/>
      <c r="B112"/>
      <c r="C112" s="6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 s="3" customFormat="1" ht="22.5" customHeight="1" x14ac:dyDescent="0.35">
      <c r="A113"/>
      <c r="B113"/>
      <c r="C113" s="6"/>
      <c r="D113" s="7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</sheetData>
  <mergeCells count="23">
    <mergeCell ref="B84:B86"/>
    <mergeCell ref="A1:B6"/>
    <mergeCell ref="C1:F3"/>
    <mergeCell ref="G1:I2"/>
    <mergeCell ref="G3:I4"/>
    <mergeCell ref="C4:F6"/>
    <mergeCell ref="G5:I6"/>
    <mergeCell ref="A7:B7"/>
    <mergeCell ref="C7:I7"/>
    <mergeCell ref="A8:I8"/>
    <mergeCell ref="B10:B78"/>
    <mergeCell ref="B82:B83"/>
    <mergeCell ref="A92:D92"/>
    <mergeCell ref="G98:I98"/>
    <mergeCell ref="G99:I99"/>
    <mergeCell ref="G100:I100"/>
    <mergeCell ref="A88:E88"/>
    <mergeCell ref="A89:C91"/>
    <mergeCell ref="D89:E91"/>
    <mergeCell ref="F89:F91"/>
    <mergeCell ref="G89:H89"/>
    <mergeCell ref="G90:H90"/>
    <mergeCell ref="G91:H91"/>
  </mergeCells>
  <pageMargins left="0.25" right="0.25" top="0.75" bottom="0.75" header="0.3" footer="0.3"/>
  <pageSetup scale="5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15"/>
  <sheetViews>
    <sheetView showGridLines="0" topLeftCell="A37" workbookViewId="0">
      <selection activeCell="D74" sqref="D74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43381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72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72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347" t="s">
        <v>32</v>
      </c>
      <c r="C10" s="107">
        <v>43374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177">
        <v>0</v>
      </c>
      <c r="I10" s="22">
        <f>IF($K$14=1,G10+H10,G10*H10)</f>
        <v>9700</v>
      </c>
    </row>
    <row r="11" spans="1:12" s="1" customFormat="1" ht="15" thickBot="1" x14ac:dyDescent="0.4">
      <c r="A11" s="82">
        <v>2</v>
      </c>
      <c r="B11" s="326"/>
      <c r="C11" s="108">
        <v>43374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31">
        <f>IF($K$14=1,G11+H11,G11*H11)</f>
        <v>9700</v>
      </c>
    </row>
    <row r="12" spans="1:12" s="1" customFormat="1" ht="15" thickBot="1" x14ac:dyDescent="0.4">
      <c r="A12" s="82">
        <v>3</v>
      </c>
      <c r="B12" s="326"/>
      <c r="C12" s="108">
        <v>43378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31">
        <f t="shared" ref="I12:I88" si="0">IF($K$14=1,G12+H12,G12*H12)</f>
        <v>9700</v>
      </c>
    </row>
    <row r="13" spans="1:12" s="1" customFormat="1" ht="15" thickBot="1" x14ac:dyDescent="0.4">
      <c r="A13" s="82">
        <v>4</v>
      </c>
      <c r="B13" s="326"/>
      <c r="C13" s="108">
        <v>43375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31">
        <f t="shared" si="0"/>
        <v>9700</v>
      </c>
    </row>
    <row r="14" spans="1:12" s="1" customFormat="1" ht="15" thickBot="1" x14ac:dyDescent="0.4">
      <c r="A14" s="82">
        <v>5</v>
      </c>
      <c r="B14" s="326"/>
      <c r="C14" s="108">
        <v>43376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26"/>
      <c r="C15" s="108">
        <v>43374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31">
        <f t="shared" si="0"/>
        <v>9700</v>
      </c>
    </row>
    <row r="16" spans="1:12" s="1" customFormat="1" ht="15" thickBot="1" x14ac:dyDescent="0.4">
      <c r="A16" s="82">
        <v>7</v>
      </c>
      <c r="B16" s="326"/>
      <c r="C16" s="108">
        <v>43373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31">
        <f t="shared" si="0"/>
        <v>9700</v>
      </c>
    </row>
    <row r="17" spans="1:9" s="1" customFormat="1" ht="15" thickBot="1" x14ac:dyDescent="0.4">
      <c r="A17" s="82">
        <v>8</v>
      </c>
      <c r="B17" s="326"/>
      <c r="C17" s="108">
        <v>43372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31">
        <f t="shared" si="0"/>
        <v>9700</v>
      </c>
    </row>
    <row r="18" spans="1:9" s="1" customFormat="1" ht="15" thickBot="1" x14ac:dyDescent="0.4">
      <c r="A18" s="82">
        <v>9</v>
      </c>
      <c r="B18" s="326"/>
      <c r="C18" s="108">
        <v>43371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178">
        <v>0</v>
      </c>
      <c r="I18" s="31">
        <f t="shared" si="0"/>
        <v>9700</v>
      </c>
    </row>
    <row r="19" spans="1:9" s="1" customFormat="1" ht="15" thickBot="1" x14ac:dyDescent="0.4">
      <c r="A19" s="82">
        <v>10</v>
      </c>
      <c r="B19" s="326"/>
      <c r="C19" s="108">
        <v>43260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31">
        <f t="shared" si="0"/>
        <v>9700</v>
      </c>
    </row>
    <row r="20" spans="1:9" s="1" customFormat="1" ht="15" thickBot="1" x14ac:dyDescent="0.4">
      <c r="A20" s="82">
        <v>11</v>
      </c>
      <c r="B20" s="326"/>
      <c r="C20" s="108">
        <v>43370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31">
        <f t="shared" si="0"/>
        <v>9700</v>
      </c>
    </row>
    <row r="21" spans="1:9" s="1" customFormat="1" ht="15" thickBot="1" x14ac:dyDescent="0.4">
      <c r="A21" s="82">
        <v>12</v>
      </c>
      <c r="B21" s="326"/>
      <c r="C21" s="108">
        <v>43375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178">
        <v>0</v>
      </c>
      <c r="I21" s="31">
        <f t="shared" si="0"/>
        <v>9700</v>
      </c>
    </row>
    <row r="22" spans="1:9" s="1" customFormat="1" ht="15" thickBot="1" x14ac:dyDescent="0.4">
      <c r="A22" s="82">
        <v>13</v>
      </c>
      <c r="B22" s="326"/>
      <c r="C22" s="108">
        <v>43377</v>
      </c>
      <c r="D22" s="26">
        <v>830054076</v>
      </c>
      <c r="E22" s="27" t="str">
        <f>VLOOKUP(D22,[1]TERCEROS!$A$2:$C$4000,3,FALSE)</f>
        <v>FIDEICOMISOS SOCIEDAD FIDUCIARIA</v>
      </c>
      <c r="F22" s="28" t="s">
        <v>59</v>
      </c>
      <c r="G22" s="29">
        <v>9700</v>
      </c>
      <c r="H22" s="178">
        <v>0</v>
      </c>
      <c r="I22" s="31">
        <f t="shared" si="0"/>
        <v>9700</v>
      </c>
    </row>
    <row r="23" spans="1:9" s="1" customFormat="1" ht="15" thickBot="1" x14ac:dyDescent="0.4">
      <c r="A23" s="82">
        <v>14</v>
      </c>
      <c r="B23" s="326"/>
      <c r="C23" s="108">
        <v>43374</v>
      </c>
      <c r="D23" s="26">
        <v>830054076</v>
      </c>
      <c r="E23" s="27" t="str">
        <f>VLOOKUP(D23,[1]TERCEROS!$A$2:$C$4000,3,FALSE)</f>
        <v>FIDEICOMISOS SOCIEDAD FIDUCIARIA</v>
      </c>
      <c r="F23" s="28" t="s">
        <v>59</v>
      </c>
      <c r="G23" s="29">
        <v>9700</v>
      </c>
      <c r="H23" s="178">
        <v>0</v>
      </c>
      <c r="I23" s="31">
        <f t="shared" si="0"/>
        <v>9700</v>
      </c>
    </row>
    <row r="24" spans="1:9" s="1" customFormat="1" ht="15" thickBot="1" x14ac:dyDescent="0.4">
      <c r="A24" s="82">
        <v>15</v>
      </c>
      <c r="B24" s="326"/>
      <c r="C24" s="108">
        <v>43372</v>
      </c>
      <c r="D24" s="26">
        <v>830054076</v>
      </c>
      <c r="E24" s="27" t="str">
        <f>VLOOKUP(D24,[1]TERCEROS!$A$2:$C$4000,3,FALSE)</f>
        <v>FIDEICOMISOS SOCIEDAD FIDUCIARIA</v>
      </c>
      <c r="F24" s="28" t="s">
        <v>59</v>
      </c>
      <c r="G24" s="29">
        <v>9700</v>
      </c>
      <c r="H24" s="178">
        <v>0</v>
      </c>
      <c r="I24" s="31">
        <f t="shared" si="0"/>
        <v>9700</v>
      </c>
    </row>
    <row r="25" spans="1:9" s="1" customFormat="1" ht="15" thickBot="1" x14ac:dyDescent="0.4">
      <c r="A25" s="82">
        <v>16</v>
      </c>
      <c r="B25" s="326"/>
      <c r="C25" s="108">
        <v>43370</v>
      </c>
      <c r="D25" s="26">
        <v>830054076</v>
      </c>
      <c r="E25" s="27" t="str">
        <f>VLOOKUP(D25,[1]TERCEROS!$A$2:$C$4000,3,FALSE)</f>
        <v>FIDEICOMISOS SOCIEDAD FIDUCIARIA</v>
      </c>
      <c r="F25" s="28" t="s">
        <v>59</v>
      </c>
      <c r="G25" s="29">
        <v>9700</v>
      </c>
      <c r="H25" s="178">
        <v>0</v>
      </c>
      <c r="I25" s="31">
        <f t="shared" si="0"/>
        <v>9700</v>
      </c>
    </row>
    <row r="26" spans="1:9" s="1" customFormat="1" ht="15" thickBot="1" x14ac:dyDescent="0.4">
      <c r="A26" s="82">
        <v>17</v>
      </c>
      <c r="B26" s="326"/>
      <c r="C26" s="108">
        <v>43370</v>
      </c>
      <c r="D26" s="26">
        <v>830054076</v>
      </c>
      <c r="E26" s="27" t="str">
        <f>VLOOKUP(D26,[1]TERCEROS!$A$2:$C$4000,3,FALSE)</f>
        <v>FIDEICOMISOS SOCIEDAD FIDUCIARIA</v>
      </c>
      <c r="F26" s="28" t="s">
        <v>59</v>
      </c>
      <c r="G26" s="29">
        <v>9700</v>
      </c>
      <c r="H26" s="178">
        <v>0</v>
      </c>
      <c r="I26" s="31">
        <f t="shared" si="0"/>
        <v>9700</v>
      </c>
    </row>
    <row r="27" spans="1:9" s="1" customFormat="1" ht="15" thickBot="1" x14ac:dyDescent="0.4">
      <c r="A27" s="82">
        <v>18</v>
      </c>
      <c r="B27" s="326"/>
      <c r="C27" s="108">
        <v>43369</v>
      </c>
      <c r="D27" s="26">
        <v>830054076</v>
      </c>
      <c r="E27" s="27" t="str">
        <f>VLOOKUP(D27,[1]TERCEROS!$A$2:$C$4000,3,FALSE)</f>
        <v>FIDEICOMISOS SOCIEDAD FIDUCIARIA</v>
      </c>
      <c r="F27" s="28" t="s">
        <v>59</v>
      </c>
      <c r="G27" s="29">
        <v>9700</v>
      </c>
      <c r="H27" s="178">
        <v>0</v>
      </c>
      <c r="I27" s="31">
        <f t="shared" si="0"/>
        <v>9700</v>
      </c>
    </row>
    <row r="28" spans="1:9" s="1" customFormat="1" ht="15" thickBot="1" x14ac:dyDescent="0.4">
      <c r="A28" s="82">
        <v>19</v>
      </c>
      <c r="B28" s="326"/>
      <c r="C28" s="108">
        <v>43370</v>
      </c>
      <c r="D28" s="26">
        <v>830054076</v>
      </c>
      <c r="E28" s="27" t="str">
        <f>VLOOKUP(D28,[1]TERCEROS!$A$2:$C$4000,3,FALSE)</f>
        <v>FIDEICOMISOS SOCIEDAD FIDUCIARIA</v>
      </c>
      <c r="F28" s="28" t="s">
        <v>59</v>
      </c>
      <c r="G28" s="29">
        <v>9700</v>
      </c>
      <c r="H28" s="178">
        <v>0</v>
      </c>
      <c r="I28" s="31">
        <f t="shared" si="0"/>
        <v>9700</v>
      </c>
    </row>
    <row r="29" spans="1:9" s="1" customFormat="1" ht="15" thickBot="1" x14ac:dyDescent="0.4">
      <c r="A29" s="82">
        <v>20</v>
      </c>
      <c r="B29" s="326"/>
      <c r="C29" s="108">
        <v>43371</v>
      </c>
      <c r="D29" s="26">
        <v>830054076</v>
      </c>
      <c r="E29" s="27" t="str">
        <f>VLOOKUP(D29,[1]TERCEROS!$A$2:$C$4000,3,FALSE)</f>
        <v>FIDEICOMISOS SOCIEDAD FIDUCIARIA</v>
      </c>
      <c r="F29" s="28" t="s">
        <v>59</v>
      </c>
      <c r="G29" s="29">
        <v>9700</v>
      </c>
      <c r="H29" s="178">
        <v>0</v>
      </c>
      <c r="I29" s="31">
        <f t="shared" si="0"/>
        <v>9700</v>
      </c>
    </row>
    <row r="30" spans="1:9" s="1" customFormat="1" ht="15" thickBot="1" x14ac:dyDescent="0.4">
      <c r="A30" s="82">
        <v>21</v>
      </c>
      <c r="B30" s="326"/>
      <c r="C30" s="108">
        <v>43369</v>
      </c>
      <c r="D30" s="26">
        <v>830054076</v>
      </c>
      <c r="E30" s="27" t="str">
        <f>VLOOKUP(D30,[1]TERCEROS!$A$2:$C$4000,3,FALSE)</f>
        <v>FIDEICOMISOS SOCIEDAD FIDUCIARIA</v>
      </c>
      <c r="F30" s="28" t="s">
        <v>59</v>
      </c>
      <c r="G30" s="29">
        <v>9700</v>
      </c>
      <c r="H30" s="178">
        <v>0</v>
      </c>
      <c r="I30" s="31">
        <f t="shared" si="0"/>
        <v>9700</v>
      </c>
    </row>
    <row r="31" spans="1:9" s="1" customFormat="1" ht="15" thickBot="1" x14ac:dyDescent="0.4">
      <c r="A31" s="82">
        <v>22</v>
      </c>
      <c r="B31" s="326"/>
      <c r="C31" s="108">
        <v>43368</v>
      </c>
      <c r="D31" s="26">
        <v>830054076</v>
      </c>
      <c r="E31" s="27" t="str">
        <f>VLOOKUP(D31,[1]TERCEROS!$A$2:$C$4000,3,FALSE)</f>
        <v>FIDEICOMISOS SOCIEDAD FIDUCIARIA</v>
      </c>
      <c r="F31" s="28" t="s">
        <v>59</v>
      </c>
      <c r="G31" s="29">
        <v>9700</v>
      </c>
      <c r="H31" s="178">
        <v>0</v>
      </c>
      <c r="I31" s="31">
        <f t="shared" si="0"/>
        <v>9700</v>
      </c>
    </row>
    <row r="32" spans="1:9" s="1" customFormat="1" ht="15" thickBot="1" x14ac:dyDescent="0.4">
      <c r="A32" s="82">
        <v>23</v>
      </c>
      <c r="B32" s="326"/>
      <c r="C32" s="108">
        <v>43370</v>
      </c>
      <c r="D32" s="26">
        <v>830054076</v>
      </c>
      <c r="E32" s="27" t="str">
        <f>VLOOKUP(D32,[1]TERCEROS!$A$2:$C$4000,3,FALSE)</f>
        <v>FIDEICOMISOS SOCIEDAD FIDUCIARIA</v>
      </c>
      <c r="F32" s="28" t="s">
        <v>59</v>
      </c>
      <c r="G32" s="29">
        <v>9700</v>
      </c>
      <c r="H32" s="178">
        <v>0</v>
      </c>
      <c r="I32" s="31">
        <f t="shared" si="0"/>
        <v>9700</v>
      </c>
    </row>
    <row r="33" spans="1:9" s="1" customFormat="1" ht="15" thickBot="1" x14ac:dyDescent="0.4">
      <c r="A33" s="82">
        <v>24</v>
      </c>
      <c r="B33" s="326"/>
      <c r="C33" s="108">
        <v>43375</v>
      </c>
      <c r="D33" s="26">
        <v>830054076</v>
      </c>
      <c r="E33" s="27" t="str">
        <f>VLOOKUP(D33,[1]TERCEROS!$A$2:$C$4000,3,FALSE)</f>
        <v>FIDEICOMISOS SOCIEDAD FIDUCIARIA</v>
      </c>
      <c r="F33" s="28" t="s">
        <v>59</v>
      </c>
      <c r="G33" s="29">
        <v>9700</v>
      </c>
      <c r="H33" s="178">
        <v>0</v>
      </c>
      <c r="I33" s="31">
        <f t="shared" si="0"/>
        <v>9700</v>
      </c>
    </row>
    <row r="34" spans="1:9" s="1" customFormat="1" ht="15" thickBot="1" x14ac:dyDescent="0.4">
      <c r="A34" s="82">
        <v>25</v>
      </c>
      <c r="B34" s="326"/>
      <c r="C34" s="108">
        <v>43375</v>
      </c>
      <c r="D34" s="26">
        <v>830054076</v>
      </c>
      <c r="E34" s="27" t="str">
        <f>VLOOKUP(D34,[1]TERCEROS!$A$2:$C$4000,3,FALSE)</f>
        <v>FIDEICOMISOS SOCIEDAD FIDUCIARIA</v>
      </c>
      <c r="F34" s="28" t="s">
        <v>59</v>
      </c>
      <c r="G34" s="29">
        <v>9700</v>
      </c>
      <c r="H34" s="178">
        <v>0</v>
      </c>
      <c r="I34" s="31">
        <f t="shared" si="0"/>
        <v>9700</v>
      </c>
    </row>
    <row r="35" spans="1:9" s="1" customFormat="1" ht="15" thickBot="1" x14ac:dyDescent="0.4">
      <c r="A35" s="82">
        <v>26</v>
      </c>
      <c r="B35" s="326"/>
      <c r="C35" s="108">
        <v>43367</v>
      </c>
      <c r="D35" s="26">
        <v>830054076</v>
      </c>
      <c r="E35" s="27" t="str">
        <f>VLOOKUP(D35,[1]TERCEROS!$A$2:$C$4000,3,FALSE)</f>
        <v>FIDEICOMISOS SOCIEDAD FIDUCIARIA</v>
      </c>
      <c r="F35" s="28" t="s">
        <v>59</v>
      </c>
      <c r="G35" s="29">
        <v>11700</v>
      </c>
      <c r="H35" s="178">
        <v>0</v>
      </c>
      <c r="I35" s="31">
        <f t="shared" si="0"/>
        <v>11700</v>
      </c>
    </row>
    <row r="36" spans="1:9" s="1" customFormat="1" ht="15" thickBot="1" x14ac:dyDescent="0.4">
      <c r="A36" s="82">
        <v>27</v>
      </c>
      <c r="B36" s="326"/>
      <c r="C36" s="108">
        <v>43367</v>
      </c>
      <c r="D36" s="26">
        <v>830054076</v>
      </c>
      <c r="E36" s="27" t="str">
        <f>VLOOKUP(D36,[1]TERCEROS!$A$2:$C$4000,3,FALSE)</f>
        <v>FIDEICOMISOS SOCIEDAD FIDUCIARIA</v>
      </c>
      <c r="F36" s="28" t="s">
        <v>59</v>
      </c>
      <c r="G36" s="29">
        <v>11700</v>
      </c>
      <c r="H36" s="178">
        <v>0</v>
      </c>
      <c r="I36" s="31">
        <f t="shared" si="0"/>
        <v>11700</v>
      </c>
    </row>
    <row r="37" spans="1:9" s="1" customFormat="1" ht="15" thickBot="1" x14ac:dyDescent="0.4">
      <c r="A37" s="82">
        <v>28</v>
      </c>
      <c r="B37" s="326"/>
      <c r="C37" s="108">
        <v>43369</v>
      </c>
      <c r="D37" s="26">
        <v>830054076</v>
      </c>
      <c r="E37" s="27" t="str">
        <f>VLOOKUP(D37,[1]TERCEROS!$A$2:$C$4000,3,FALSE)</f>
        <v>FIDEICOMISOS SOCIEDAD FIDUCIARIA</v>
      </c>
      <c r="F37" s="28" t="s">
        <v>59</v>
      </c>
      <c r="G37" s="29">
        <v>9700</v>
      </c>
      <c r="H37" s="178">
        <v>0</v>
      </c>
      <c r="I37" s="31">
        <f t="shared" si="0"/>
        <v>9700</v>
      </c>
    </row>
    <row r="38" spans="1:9" s="1" customFormat="1" ht="15" thickBot="1" x14ac:dyDescent="0.4">
      <c r="A38" s="82">
        <v>29</v>
      </c>
      <c r="B38" s="326"/>
      <c r="C38" s="108">
        <v>43375</v>
      </c>
      <c r="D38" s="26">
        <v>830054076</v>
      </c>
      <c r="E38" s="27" t="str">
        <f>VLOOKUP(D38,[1]TERCEROS!$A$2:$C$4000,3,FALSE)</f>
        <v>FIDEICOMISOS SOCIEDAD FIDUCIARIA</v>
      </c>
      <c r="F38" s="28" t="s">
        <v>59</v>
      </c>
      <c r="G38" s="29">
        <v>9700</v>
      </c>
      <c r="H38" s="178">
        <v>0</v>
      </c>
      <c r="I38" s="31">
        <f t="shared" si="0"/>
        <v>9700</v>
      </c>
    </row>
    <row r="39" spans="1:9" s="1" customFormat="1" ht="15" thickBot="1" x14ac:dyDescent="0.4">
      <c r="A39" s="82">
        <v>30</v>
      </c>
      <c r="B39" s="326"/>
      <c r="C39" s="108">
        <v>43372</v>
      </c>
      <c r="D39" s="26">
        <v>830054076</v>
      </c>
      <c r="E39" s="27" t="str">
        <f>VLOOKUP(D39,[1]TERCEROS!$A$2:$C$4000,3,FALSE)</f>
        <v>FIDEICOMISOS SOCIEDAD FIDUCIARIA</v>
      </c>
      <c r="F39" s="28" t="s">
        <v>59</v>
      </c>
      <c r="G39" s="29">
        <v>9700</v>
      </c>
      <c r="H39" s="178">
        <v>0</v>
      </c>
      <c r="I39" s="31">
        <f t="shared" si="0"/>
        <v>9700</v>
      </c>
    </row>
    <row r="40" spans="1:9" s="1" customFormat="1" ht="15" thickBot="1" x14ac:dyDescent="0.4">
      <c r="A40" s="82">
        <v>31</v>
      </c>
      <c r="B40" s="326"/>
      <c r="C40" s="108">
        <v>43376</v>
      </c>
      <c r="D40" s="26">
        <v>830054076</v>
      </c>
      <c r="E40" s="27" t="str">
        <f>VLOOKUP(D40,[1]TERCEROS!$A$2:$C$4000,3,FALSE)</f>
        <v>FIDEICOMISOS SOCIEDAD FIDUCIARIA</v>
      </c>
      <c r="F40" s="28" t="s">
        <v>59</v>
      </c>
      <c r="G40" s="29">
        <v>9700</v>
      </c>
      <c r="H40" s="178">
        <v>0</v>
      </c>
      <c r="I40" s="31">
        <f t="shared" si="0"/>
        <v>9700</v>
      </c>
    </row>
    <row r="41" spans="1:9" s="1" customFormat="1" ht="15" thickBot="1" x14ac:dyDescent="0.4">
      <c r="A41" s="82">
        <v>32</v>
      </c>
      <c r="B41" s="326"/>
      <c r="C41" s="108">
        <v>43376</v>
      </c>
      <c r="D41" s="26">
        <v>830054076</v>
      </c>
      <c r="E41" s="27" t="str">
        <f>VLOOKUP(D41,[1]TERCEROS!$A$2:$C$4000,3,FALSE)</f>
        <v>FIDEICOMISOS SOCIEDAD FIDUCIARIA</v>
      </c>
      <c r="F41" s="28" t="s">
        <v>59</v>
      </c>
      <c r="G41" s="29">
        <v>9700</v>
      </c>
      <c r="H41" s="178">
        <v>0</v>
      </c>
      <c r="I41" s="31">
        <f t="shared" si="0"/>
        <v>9700</v>
      </c>
    </row>
    <row r="42" spans="1:9" s="1" customFormat="1" ht="15" thickBot="1" x14ac:dyDescent="0.4">
      <c r="A42" s="82">
        <v>33</v>
      </c>
      <c r="B42" s="326"/>
      <c r="C42" s="108">
        <v>43373</v>
      </c>
      <c r="D42" s="26">
        <v>830054076</v>
      </c>
      <c r="E42" s="27" t="str">
        <f>VLOOKUP(D42,[1]TERCEROS!$A$2:$C$4000,3,FALSE)</f>
        <v>FIDEICOMISOS SOCIEDAD FIDUCIARIA</v>
      </c>
      <c r="F42" s="28" t="s">
        <v>59</v>
      </c>
      <c r="G42" s="29">
        <v>9700</v>
      </c>
      <c r="H42" s="178">
        <v>0</v>
      </c>
      <c r="I42" s="31">
        <f t="shared" si="0"/>
        <v>9700</v>
      </c>
    </row>
    <row r="43" spans="1:9" s="1" customFormat="1" ht="15" thickBot="1" x14ac:dyDescent="0.4">
      <c r="A43" s="82">
        <v>34</v>
      </c>
      <c r="B43" s="326"/>
      <c r="C43" s="108">
        <v>43375</v>
      </c>
      <c r="D43" s="26">
        <v>830054076</v>
      </c>
      <c r="E43" s="27" t="str">
        <f>VLOOKUP(D43,[1]TERCEROS!$A$2:$C$4000,3,FALSE)</f>
        <v>FIDEICOMISOS SOCIEDAD FIDUCIARIA</v>
      </c>
      <c r="F43" s="28" t="s">
        <v>59</v>
      </c>
      <c r="G43" s="29">
        <v>9700</v>
      </c>
      <c r="H43" s="178">
        <v>0</v>
      </c>
      <c r="I43" s="31">
        <f t="shared" si="0"/>
        <v>9700</v>
      </c>
    </row>
    <row r="44" spans="1:9" s="1" customFormat="1" ht="15" thickBot="1" x14ac:dyDescent="0.4">
      <c r="A44" s="82">
        <v>35</v>
      </c>
      <c r="B44" s="326"/>
      <c r="C44" s="108">
        <v>43374</v>
      </c>
      <c r="D44" s="26">
        <v>830054076</v>
      </c>
      <c r="E44" s="27" t="str">
        <f>VLOOKUP(D44,[1]TERCEROS!$A$2:$C$4000,3,FALSE)</f>
        <v>FIDEICOMISOS SOCIEDAD FIDUCIARIA</v>
      </c>
      <c r="F44" s="28" t="s">
        <v>59</v>
      </c>
      <c r="G44" s="29">
        <v>9700</v>
      </c>
      <c r="H44" s="178">
        <v>0</v>
      </c>
      <c r="I44" s="31">
        <f t="shared" si="0"/>
        <v>9700</v>
      </c>
    </row>
    <row r="45" spans="1:9" s="1" customFormat="1" ht="15" thickBot="1" x14ac:dyDescent="0.4">
      <c r="A45" s="82">
        <v>36</v>
      </c>
      <c r="B45" s="326"/>
      <c r="C45" s="108">
        <v>43374</v>
      </c>
      <c r="D45" s="26">
        <v>830054076</v>
      </c>
      <c r="E45" s="27" t="str">
        <f>VLOOKUP(D45,[1]TERCEROS!$A$2:$C$4000,3,FALSE)</f>
        <v>FIDEICOMISOS SOCIEDAD FIDUCIARIA</v>
      </c>
      <c r="F45" s="28" t="s">
        <v>59</v>
      </c>
      <c r="G45" s="29">
        <v>9700</v>
      </c>
      <c r="H45" s="178">
        <v>0</v>
      </c>
      <c r="I45" s="31">
        <f t="shared" si="0"/>
        <v>9700</v>
      </c>
    </row>
    <row r="46" spans="1:9" s="1" customFormat="1" ht="15" thickBot="1" x14ac:dyDescent="0.4">
      <c r="A46" s="82">
        <v>37</v>
      </c>
      <c r="B46" s="326"/>
      <c r="C46" s="108">
        <v>43370</v>
      </c>
      <c r="D46" s="26">
        <v>90002707</v>
      </c>
      <c r="E46" s="27" t="s">
        <v>283</v>
      </c>
      <c r="F46" s="28" t="s">
        <v>62</v>
      </c>
      <c r="G46" s="29">
        <v>30000</v>
      </c>
      <c r="H46" s="178">
        <v>0</v>
      </c>
      <c r="I46" s="31">
        <f t="shared" si="0"/>
        <v>30000</v>
      </c>
    </row>
    <row r="47" spans="1:9" s="1" customFormat="1" ht="15" thickBot="1" x14ac:dyDescent="0.4">
      <c r="A47" s="82">
        <v>38</v>
      </c>
      <c r="B47" s="326"/>
      <c r="C47" s="108">
        <v>43379</v>
      </c>
      <c r="D47" s="26">
        <v>830054076</v>
      </c>
      <c r="E47" s="27" t="str">
        <f>VLOOKUP(D47,[1]TERCEROS!$A$2:$C$4000,3,FALSE)</f>
        <v>FIDEICOMISOS SOCIEDAD FIDUCIARIA</v>
      </c>
      <c r="F47" s="28" t="s">
        <v>59</v>
      </c>
      <c r="G47" s="29">
        <v>9700</v>
      </c>
      <c r="H47" s="178">
        <v>0</v>
      </c>
      <c r="I47" s="31">
        <f t="shared" si="0"/>
        <v>9700</v>
      </c>
    </row>
    <row r="48" spans="1:9" s="1" customFormat="1" ht="15" thickBot="1" x14ac:dyDescent="0.4">
      <c r="A48" s="82">
        <v>39</v>
      </c>
      <c r="B48" s="326"/>
      <c r="C48" s="108">
        <v>43379</v>
      </c>
      <c r="D48" s="26">
        <v>830054076</v>
      </c>
      <c r="E48" s="27" t="str">
        <f>VLOOKUP(D48,[1]TERCEROS!$A$2:$C$4000,3,FALSE)</f>
        <v>FIDEICOMISOS SOCIEDAD FIDUCIARIA</v>
      </c>
      <c r="F48" s="28" t="s">
        <v>59</v>
      </c>
      <c r="G48" s="29">
        <v>9700</v>
      </c>
      <c r="H48" s="178">
        <v>0</v>
      </c>
      <c r="I48" s="31">
        <f t="shared" si="0"/>
        <v>9700</v>
      </c>
    </row>
    <row r="49" spans="1:9" s="1" customFormat="1" ht="15" thickBot="1" x14ac:dyDescent="0.4">
      <c r="A49" s="82">
        <v>40</v>
      </c>
      <c r="B49" s="326"/>
      <c r="C49" s="108">
        <v>43378</v>
      </c>
      <c r="D49" s="26">
        <v>800021827</v>
      </c>
      <c r="E49" s="27" t="str">
        <f>VLOOKUP(D49,[1]TERCEROS!$A$2:$C$4000,3,FALSE)</f>
        <v>AGROSERVICIO PERDOMO Y NOVO LTDA</v>
      </c>
      <c r="F49" s="28" t="s">
        <v>284</v>
      </c>
      <c r="G49" s="29">
        <v>67220</v>
      </c>
      <c r="H49" s="178">
        <f>+G49*19%</f>
        <v>12771.8</v>
      </c>
      <c r="I49" s="31">
        <f>+G49+H49</f>
        <v>79991.8</v>
      </c>
    </row>
    <row r="50" spans="1:9" s="1" customFormat="1" ht="15" thickBot="1" x14ac:dyDescent="0.4">
      <c r="A50" s="82">
        <v>41</v>
      </c>
      <c r="B50" s="326"/>
      <c r="C50" s="108">
        <v>43375</v>
      </c>
      <c r="D50" s="26">
        <v>860512330</v>
      </c>
      <c r="E50" s="27" t="str">
        <f>VLOOKUP(D50,[1]TERCEROS!$A$2:$C$4000,3,FALSE)</f>
        <v>SERVIENTREGA S.A.</v>
      </c>
      <c r="F50" s="28" t="s">
        <v>285</v>
      </c>
      <c r="G50" s="29">
        <v>9700</v>
      </c>
      <c r="H50" s="178">
        <v>0</v>
      </c>
      <c r="I50" s="31">
        <f t="shared" si="0"/>
        <v>9700</v>
      </c>
    </row>
    <row r="51" spans="1:9" s="1" customFormat="1" ht="15" thickBot="1" x14ac:dyDescent="0.4">
      <c r="A51" s="82">
        <v>42</v>
      </c>
      <c r="B51" s="326"/>
      <c r="C51" s="108">
        <v>43371</v>
      </c>
      <c r="D51" s="26">
        <v>1022421503</v>
      </c>
      <c r="E51" s="27" t="s">
        <v>286</v>
      </c>
      <c r="F51" s="28" t="s">
        <v>287</v>
      </c>
      <c r="G51" s="29">
        <v>4000</v>
      </c>
      <c r="H51" s="178">
        <v>0</v>
      </c>
      <c r="I51" s="31">
        <f t="shared" si="0"/>
        <v>4000</v>
      </c>
    </row>
    <row r="52" spans="1:9" s="1" customFormat="1" ht="15" thickBot="1" x14ac:dyDescent="0.4">
      <c r="A52" s="82">
        <v>43</v>
      </c>
      <c r="B52" s="326"/>
      <c r="C52" s="108">
        <v>43372</v>
      </c>
      <c r="D52" s="26">
        <v>1022421503</v>
      </c>
      <c r="E52" s="27" t="s">
        <v>286</v>
      </c>
      <c r="F52" s="28" t="s">
        <v>287</v>
      </c>
      <c r="G52" s="29">
        <v>2000</v>
      </c>
      <c r="H52" s="178">
        <v>0</v>
      </c>
      <c r="I52" s="31">
        <f t="shared" si="0"/>
        <v>2000</v>
      </c>
    </row>
    <row r="53" spans="1:9" s="1" customFormat="1" ht="15" thickBot="1" x14ac:dyDescent="0.4">
      <c r="A53" s="82">
        <v>44</v>
      </c>
      <c r="B53" s="326"/>
      <c r="C53" s="108">
        <v>43374</v>
      </c>
      <c r="D53" s="26">
        <v>830050619</v>
      </c>
      <c r="E53" s="27" t="str">
        <f>VLOOKUP(D53,[1]TERCEROS!$A$2:$C$4000,3,FALSE)</f>
        <v>CITY PARKING S.A</v>
      </c>
      <c r="F53" s="28" t="s">
        <v>287</v>
      </c>
      <c r="G53" s="29">
        <v>1050</v>
      </c>
      <c r="H53" s="178">
        <v>0</v>
      </c>
      <c r="I53" s="31">
        <f t="shared" si="0"/>
        <v>1050</v>
      </c>
    </row>
    <row r="54" spans="1:9" s="1" customFormat="1" ht="15" thickBot="1" x14ac:dyDescent="0.4">
      <c r="A54" s="82">
        <v>45</v>
      </c>
      <c r="B54" s="326"/>
      <c r="C54" s="108">
        <v>43372</v>
      </c>
      <c r="D54" s="26">
        <v>830054076</v>
      </c>
      <c r="E54" s="27" t="str">
        <f>VLOOKUP(D54,[1]TERCEROS!$A$2:$C$4000,3,FALSE)</f>
        <v>FIDEICOMISOS SOCIEDAD FIDUCIARIA</v>
      </c>
      <c r="F54" s="28" t="s">
        <v>59</v>
      </c>
      <c r="G54" s="29">
        <v>9700</v>
      </c>
      <c r="H54" s="178">
        <v>0</v>
      </c>
      <c r="I54" s="31">
        <f t="shared" si="0"/>
        <v>9700</v>
      </c>
    </row>
    <row r="55" spans="1:9" s="1" customFormat="1" ht="15" thickBot="1" x14ac:dyDescent="0.4">
      <c r="A55" s="82">
        <v>46</v>
      </c>
      <c r="B55" s="326"/>
      <c r="C55" s="108">
        <v>43371</v>
      </c>
      <c r="D55" s="26">
        <v>800149384</v>
      </c>
      <c r="E55" s="27" t="s">
        <v>288</v>
      </c>
      <c r="F55" s="28" t="s">
        <v>287</v>
      </c>
      <c r="G55" s="29">
        <v>2352</v>
      </c>
      <c r="H55" s="178">
        <f>+G55*19%</f>
        <v>446.88</v>
      </c>
      <c r="I55" s="31">
        <f t="shared" si="0"/>
        <v>2798.88</v>
      </c>
    </row>
    <row r="56" spans="1:9" s="1" customFormat="1" ht="15" thickBot="1" x14ac:dyDescent="0.4">
      <c r="A56" s="82">
        <v>47</v>
      </c>
      <c r="B56" s="326"/>
      <c r="C56" s="108">
        <v>43370</v>
      </c>
      <c r="D56" s="26">
        <v>19297333</v>
      </c>
      <c r="E56" s="27" t="str">
        <f>VLOOKUP(D56,[1]TERCEROS!$A$2:$C$4000,3,FALSE)</f>
        <v>PULIDO ESCALANTE JAIME ALBERTO</v>
      </c>
      <c r="F56" s="28" t="s">
        <v>289</v>
      </c>
      <c r="G56" s="29">
        <v>40000</v>
      </c>
      <c r="H56" s="178">
        <v>0</v>
      </c>
      <c r="I56" s="31">
        <f t="shared" si="0"/>
        <v>40000</v>
      </c>
    </row>
    <row r="57" spans="1:9" s="1" customFormat="1" ht="15" thickBot="1" x14ac:dyDescent="0.4">
      <c r="A57" s="82">
        <v>48</v>
      </c>
      <c r="B57" s="326"/>
      <c r="C57" s="108">
        <v>43376</v>
      </c>
      <c r="D57" s="26">
        <v>900754508</v>
      </c>
      <c r="E57" s="27" t="s">
        <v>40</v>
      </c>
      <c r="F57" s="28" t="s">
        <v>120</v>
      </c>
      <c r="G57" s="29">
        <v>142500</v>
      </c>
      <c r="H57" s="178">
        <v>0</v>
      </c>
      <c r="I57" s="31">
        <f t="shared" si="0"/>
        <v>142500</v>
      </c>
    </row>
    <row r="58" spans="1:9" s="1" customFormat="1" ht="15" thickBot="1" x14ac:dyDescent="0.4">
      <c r="A58" s="82">
        <v>49</v>
      </c>
      <c r="B58" s="326"/>
      <c r="C58" s="108">
        <v>43375</v>
      </c>
      <c r="D58" s="26">
        <v>72151045</v>
      </c>
      <c r="E58" s="27" t="str">
        <f>VLOOKUP(D58,[1]TERCEROS!$A$2:$C$4000,3,FALSE)</f>
        <v>EDINSON ROMERO</v>
      </c>
      <c r="F58" s="28" t="s">
        <v>289</v>
      </c>
      <c r="G58" s="29">
        <v>15000</v>
      </c>
      <c r="H58" s="178">
        <v>0</v>
      </c>
      <c r="I58" s="31">
        <f t="shared" si="0"/>
        <v>15000</v>
      </c>
    </row>
    <row r="59" spans="1:9" s="1" customFormat="1" ht="15" thickBot="1" x14ac:dyDescent="0.4">
      <c r="A59" s="82">
        <v>50</v>
      </c>
      <c r="B59" s="326"/>
      <c r="C59" s="108">
        <v>43371</v>
      </c>
      <c r="D59" s="26">
        <v>1006023567</v>
      </c>
      <c r="E59" s="27" t="s">
        <v>290</v>
      </c>
      <c r="F59" s="28" t="s">
        <v>291</v>
      </c>
      <c r="G59" s="29">
        <v>7700</v>
      </c>
      <c r="H59" s="178">
        <v>0</v>
      </c>
      <c r="I59" s="31">
        <f t="shared" si="0"/>
        <v>7700</v>
      </c>
    </row>
    <row r="60" spans="1:9" s="1" customFormat="1" ht="15" thickBot="1" x14ac:dyDescent="0.4">
      <c r="A60" s="82">
        <v>51</v>
      </c>
      <c r="B60" s="326"/>
      <c r="C60" s="108">
        <v>43376</v>
      </c>
      <c r="D60" s="26">
        <v>222222222</v>
      </c>
      <c r="E60" s="27" t="str">
        <f>VLOOKUP(D60,[1]TERCEROS!$A$2:$C$4000,3,FALSE)</f>
        <v>CUANTIAS MINIMAS</v>
      </c>
      <c r="F60" s="28" t="s">
        <v>289</v>
      </c>
      <c r="G60" s="29">
        <v>5000</v>
      </c>
      <c r="H60" s="178">
        <v>0</v>
      </c>
      <c r="I60" s="31">
        <f t="shared" si="0"/>
        <v>5000</v>
      </c>
    </row>
    <row r="61" spans="1:9" s="1" customFormat="1" ht="15" thickBot="1" x14ac:dyDescent="0.4">
      <c r="A61" s="82">
        <v>52</v>
      </c>
      <c r="B61" s="326"/>
      <c r="C61" s="108">
        <v>43377</v>
      </c>
      <c r="D61" s="26">
        <v>900335241</v>
      </c>
      <c r="E61" s="27" t="str">
        <f>VLOOKUP(D61,[1]TERCEROS!$A$2:$C$4000,3,FALSE)</f>
        <v>MIS CARNES PARRILLA S.A.S</v>
      </c>
      <c r="F61" s="28" t="s">
        <v>292</v>
      </c>
      <c r="G61" s="29">
        <v>18700</v>
      </c>
      <c r="H61" s="178">
        <f>+G61*19%</f>
        <v>3553</v>
      </c>
      <c r="I61" s="31">
        <f t="shared" si="0"/>
        <v>22253</v>
      </c>
    </row>
    <row r="62" spans="1:9" s="1" customFormat="1" ht="15" thickBot="1" x14ac:dyDescent="0.4">
      <c r="A62" s="82">
        <v>53</v>
      </c>
      <c r="B62" s="326"/>
      <c r="C62" s="108">
        <v>43369</v>
      </c>
      <c r="D62" s="26">
        <v>830054076</v>
      </c>
      <c r="E62" s="27" t="str">
        <f>VLOOKUP(D62,[1]TERCEROS!$A$2:$C$4000,3,FALSE)</f>
        <v>FIDEICOMISOS SOCIEDAD FIDUCIARIA</v>
      </c>
      <c r="F62" s="28" t="s">
        <v>59</v>
      </c>
      <c r="G62" s="29">
        <v>9700</v>
      </c>
      <c r="H62" s="178">
        <f>+G62*19%</f>
        <v>1843</v>
      </c>
      <c r="I62" s="31">
        <f t="shared" si="0"/>
        <v>11543</v>
      </c>
    </row>
    <row r="63" spans="1:9" s="1" customFormat="1" ht="15" thickBot="1" x14ac:dyDescent="0.4">
      <c r="A63" s="82">
        <v>54</v>
      </c>
      <c r="B63" s="326"/>
      <c r="C63" s="108">
        <v>43369</v>
      </c>
      <c r="D63" s="26">
        <v>830054076</v>
      </c>
      <c r="E63" s="27" t="str">
        <f>VLOOKUP(D63,[1]TERCEROS!$A$2:$C$4000,3,FALSE)</f>
        <v>FIDEICOMISOS SOCIEDAD FIDUCIARIA</v>
      </c>
      <c r="F63" s="28" t="s">
        <v>59</v>
      </c>
      <c r="G63" s="29">
        <v>9700</v>
      </c>
      <c r="H63" s="178">
        <v>0</v>
      </c>
      <c r="I63" s="31">
        <f>IF($K$14=1,G63+H63,G63*H63)</f>
        <v>9700</v>
      </c>
    </row>
    <row r="64" spans="1:9" s="1" customFormat="1" ht="15" thickBot="1" x14ac:dyDescent="0.4">
      <c r="A64" s="82">
        <v>55</v>
      </c>
      <c r="B64" s="326"/>
      <c r="C64" s="108">
        <v>43373</v>
      </c>
      <c r="D64" s="26">
        <v>900491889</v>
      </c>
      <c r="E64" s="27" t="str">
        <f>VLOOKUP(D64,[1]TERCEROS!$A$2:$C$4000,3,FALSE)</f>
        <v>EDS TERMINAL NEIVA</v>
      </c>
      <c r="F64" s="28" t="s">
        <v>293</v>
      </c>
      <c r="G64" s="29">
        <v>8000</v>
      </c>
      <c r="H64" s="178">
        <v>0</v>
      </c>
      <c r="I64" s="31">
        <f t="shared" si="0"/>
        <v>8000</v>
      </c>
    </row>
    <row r="65" spans="1:9" s="1" customFormat="1" ht="15" thickBot="1" x14ac:dyDescent="0.4">
      <c r="A65" s="82">
        <v>56</v>
      </c>
      <c r="B65" s="326"/>
      <c r="C65" s="108">
        <v>43369</v>
      </c>
      <c r="D65" s="26">
        <v>900953424</v>
      </c>
      <c r="E65" s="27" t="s">
        <v>294</v>
      </c>
      <c r="F65" s="28" t="s">
        <v>105</v>
      </c>
      <c r="G65" s="29">
        <v>94100</v>
      </c>
      <c r="H65" s="178">
        <v>0</v>
      </c>
      <c r="I65" s="31">
        <f t="shared" si="0"/>
        <v>94100</v>
      </c>
    </row>
    <row r="66" spans="1:9" s="1" customFormat="1" ht="15" thickBot="1" x14ac:dyDescent="0.4">
      <c r="A66" s="82">
        <v>57</v>
      </c>
      <c r="B66" s="326"/>
      <c r="C66" s="108">
        <v>43370</v>
      </c>
      <c r="D66" s="26">
        <v>900525906</v>
      </c>
      <c r="E66" s="27" t="str">
        <f>VLOOKUP(D66,[1]TERCEROS!$A$2:$C$4000,3,FALSE)</f>
        <v>CORFERIAS INVERSIONES SAS</v>
      </c>
      <c r="F66" s="28" t="s">
        <v>287</v>
      </c>
      <c r="G66" s="29">
        <f>20450/1.19</f>
        <v>17184.873949579833</v>
      </c>
      <c r="H66" s="178">
        <f>+G66*19%</f>
        <v>3265.1260504201682</v>
      </c>
      <c r="I66" s="31">
        <f t="shared" si="0"/>
        <v>20450</v>
      </c>
    </row>
    <row r="67" spans="1:9" s="1" customFormat="1" ht="15" thickBot="1" x14ac:dyDescent="0.4">
      <c r="A67" s="82">
        <v>58</v>
      </c>
      <c r="B67" s="326"/>
      <c r="C67" s="108">
        <v>43375</v>
      </c>
      <c r="D67" s="26">
        <v>900327393</v>
      </c>
      <c r="E67" s="27" t="s">
        <v>295</v>
      </c>
      <c r="F67" s="28" t="s">
        <v>292</v>
      </c>
      <c r="G67" s="29">
        <v>16200</v>
      </c>
      <c r="H67" s="178">
        <v>0</v>
      </c>
      <c r="I67" s="31">
        <f t="shared" si="0"/>
        <v>16200</v>
      </c>
    </row>
    <row r="68" spans="1:9" s="1" customFormat="1" ht="15" thickBot="1" x14ac:dyDescent="0.4">
      <c r="A68" s="82">
        <v>59</v>
      </c>
      <c r="B68" s="326"/>
      <c r="C68" s="108">
        <v>43375</v>
      </c>
      <c r="D68" s="26">
        <v>890107487</v>
      </c>
      <c r="E68" s="27" t="str">
        <f>VLOOKUP(D68,[1]TERCEROS!$A$2:$C$4000,3,FALSE)</f>
        <v>OLIMPICA SA</v>
      </c>
      <c r="F68" s="28" t="s">
        <v>296</v>
      </c>
      <c r="G68" s="29">
        <v>10000</v>
      </c>
      <c r="H68" s="178">
        <v>0</v>
      </c>
      <c r="I68" s="31">
        <f t="shared" si="0"/>
        <v>10000</v>
      </c>
    </row>
    <row r="69" spans="1:9" s="1" customFormat="1" ht="15" thickBot="1" x14ac:dyDescent="0.4">
      <c r="A69" s="82">
        <v>60</v>
      </c>
      <c r="B69" s="326"/>
      <c r="C69" s="108">
        <v>43374</v>
      </c>
      <c r="D69" s="26">
        <v>800244387</v>
      </c>
      <c r="E69" s="27" t="str">
        <f>VLOOKUP(D69,[1]TERCEROS!$A$2:$C$4000,3,FALSE)</f>
        <v>ARCOS DORADOS COLOMBIA SA</v>
      </c>
      <c r="F69" s="28" t="s">
        <v>297</v>
      </c>
      <c r="G69" s="29">
        <v>17900</v>
      </c>
      <c r="H69" s="178">
        <v>0</v>
      </c>
      <c r="I69" s="31">
        <f t="shared" si="0"/>
        <v>17900</v>
      </c>
    </row>
    <row r="70" spans="1:9" s="1" customFormat="1" ht="15" thickBot="1" x14ac:dyDescent="0.4">
      <c r="A70" s="82">
        <v>61</v>
      </c>
      <c r="B70" s="326"/>
      <c r="C70" s="108">
        <v>43376</v>
      </c>
      <c r="D70" s="26">
        <v>800244387</v>
      </c>
      <c r="E70" s="27" t="str">
        <f>VLOOKUP(D70,[1]TERCEROS!$A$2:$C$4000,3,FALSE)</f>
        <v>ARCOS DORADOS COLOMBIA SA</v>
      </c>
      <c r="F70" s="28" t="s">
        <v>297</v>
      </c>
      <c r="G70" s="29">
        <v>17900</v>
      </c>
      <c r="H70" s="178">
        <v>0</v>
      </c>
      <c r="I70" s="31">
        <f t="shared" si="0"/>
        <v>17900</v>
      </c>
    </row>
    <row r="71" spans="1:9" s="1" customFormat="1" ht="15" thickBot="1" x14ac:dyDescent="0.4">
      <c r="A71" s="82">
        <v>62</v>
      </c>
      <c r="B71" s="326"/>
      <c r="C71" s="108">
        <v>43371</v>
      </c>
      <c r="D71" s="26">
        <v>222222222</v>
      </c>
      <c r="E71" s="27" t="str">
        <f>VLOOKUP(D71,[1]TERCEROS!$A$2:$C$4000,3,FALSE)</f>
        <v>CUANTIAS MINIMAS</v>
      </c>
      <c r="F71" s="28" t="s">
        <v>287</v>
      </c>
      <c r="G71" s="29">
        <v>9000</v>
      </c>
      <c r="H71" s="178">
        <v>0</v>
      </c>
      <c r="I71" s="31">
        <f t="shared" si="0"/>
        <v>9000</v>
      </c>
    </row>
    <row r="72" spans="1:9" s="1" customFormat="1" ht="15" thickBot="1" x14ac:dyDescent="0.4">
      <c r="A72" s="82">
        <v>63</v>
      </c>
      <c r="B72" s="326"/>
      <c r="C72" s="108">
        <v>43376</v>
      </c>
      <c r="D72" s="26">
        <v>72151045</v>
      </c>
      <c r="E72" s="27" t="str">
        <f>VLOOKUP(D72,[1]TERCEROS!$A$2:$C$4000,3,FALSE)</f>
        <v>EDINSON ROMERO</v>
      </c>
      <c r="F72" s="28" t="s">
        <v>289</v>
      </c>
      <c r="G72" s="29">
        <v>15000</v>
      </c>
      <c r="H72" s="178">
        <v>0</v>
      </c>
      <c r="I72" s="31">
        <f t="shared" si="0"/>
        <v>15000</v>
      </c>
    </row>
    <row r="73" spans="1:9" s="1" customFormat="1" ht="15" thickBot="1" x14ac:dyDescent="0.4">
      <c r="A73" s="82">
        <v>64</v>
      </c>
      <c r="B73" s="326"/>
      <c r="C73" s="108">
        <v>43371</v>
      </c>
      <c r="D73" s="26">
        <v>900860284</v>
      </c>
      <c r="E73" s="27" t="s">
        <v>298</v>
      </c>
      <c r="F73" s="28" t="s">
        <v>272</v>
      </c>
      <c r="G73" s="29">
        <v>9400</v>
      </c>
      <c r="H73" s="178">
        <v>0</v>
      </c>
      <c r="I73" s="31">
        <f t="shared" si="0"/>
        <v>9400</v>
      </c>
    </row>
    <row r="74" spans="1:9" s="1" customFormat="1" ht="15" thickBot="1" x14ac:dyDescent="0.4">
      <c r="A74" s="82">
        <v>65</v>
      </c>
      <c r="B74" s="326"/>
      <c r="C74" s="108">
        <v>43370</v>
      </c>
      <c r="D74" s="26">
        <v>900676165</v>
      </c>
      <c r="E74" s="27" t="str">
        <f>VLOOKUP(D74,[1]TERCEROS!$A$2:$C$4000,3,FALSE)</f>
        <v>UBER COLOMBIA SAS</v>
      </c>
      <c r="F74" s="28" t="s">
        <v>289</v>
      </c>
      <c r="G74" s="29">
        <v>16400</v>
      </c>
      <c r="H74" s="178">
        <v>0</v>
      </c>
      <c r="I74" s="31">
        <f t="shared" si="0"/>
        <v>16400</v>
      </c>
    </row>
    <row r="75" spans="1:9" s="1" customFormat="1" ht="15" thickBot="1" x14ac:dyDescent="0.4">
      <c r="A75" s="82">
        <v>66</v>
      </c>
      <c r="B75" s="326"/>
      <c r="C75" s="108">
        <v>43374</v>
      </c>
      <c r="D75" s="26">
        <v>72151045</v>
      </c>
      <c r="E75" s="27" t="str">
        <f>VLOOKUP(D75,[1]TERCEROS!$A$2:$C$4000,3,FALSE)</f>
        <v>EDINSON ROMERO</v>
      </c>
      <c r="F75" s="28" t="s">
        <v>289</v>
      </c>
      <c r="G75" s="29">
        <v>15000</v>
      </c>
      <c r="H75" s="178"/>
      <c r="I75" s="31">
        <f t="shared" si="0"/>
        <v>15000</v>
      </c>
    </row>
    <row r="76" spans="1:9" s="1" customFormat="1" ht="15" thickBot="1" x14ac:dyDescent="0.4">
      <c r="A76" s="82">
        <v>67</v>
      </c>
      <c r="B76" s="326"/>
      <c r="C76" s="108">
        <v>43377</v>
      </c>
      <c r="D76" s="26">
        <v>1039090799</v>
      </c>
      <c r="E76" s="27" t="str">
        <f>VLOOKUP(D76,[1]TERCEROS!$A$2:$C$4000,3,FALSE)</f>
        <v>NISPERUZA ARRIETA YAISLLETH JUDITH</v>
      </c>
      <c r="F76" s="28" t="s">
        <v>289</v>
      </c>
      <c r="G76" s="29">
        <v>10000</v>
      </c>
      <c r="H76" s="178"/>
      <c r="I76" s="31">
        <f t="shared" si="0"/>
        <v>10000</v>
      </c>
    </row>
    <row r="77" spans="1:9" s="1" customFormat="1" ht="15" thickBot="1" x14ac:dyDescent="0.4">
      <c r="A77" s="82">
        <v>68</v>
      </c>
      <c r="B77" s="326"/>
      <c r="C77" s="108">
        <v>43378</v>
      </c>
      <c r="D77" s="26">
        <v>79981003</v>
      </c>
      <c r="E77" s="27" t="str">
        <f>VLOOKUP(D77,[1]TERCEROS!$A$2:$C$4000,3,FALSE)</f>
        <v>JAIME FERNANDO BELTRAN MORA</v>
      </c>
      <c r="F77" s="28" t="s">
        <v>289</v>
      </c>
      <c r="G77" s="29">
        <v>18000</v>
      </c>
      <c r="H77" s="178"/>
      <c r="I77" s="31">
        <f t="shared" si="0"/>
        <v>18000</v>
      </c>
    </row>
    <row r="78" spans="1:9" s="1" customFormat="1" ht="15" thickBot="1" x14ac:dyDescent="0.4">
      <c r="A78" s="82">
        <v>69</v>
      </c>
      <c r="B78" s="326"/>
      <c r="C78" s="108">
        <v>43361</v>
      </c>
      <c r="D78" s="26">
        <v>222222222</v>
      </c>
      <c r="E78" s="27" t="str">
        <f>VLOOKUP(D78,[1]TERCEROS!$A$2:$C$4000,3,FALSE)</f>
        <v>CUANTIAS MINIMAS</v>
      </c>
      <c r="F78" s="28" t="s">
        <v>287</v>
      </c>
      <c r="G78" s="29">
        <v>1150</v>
      </c>
      <c r="H78" s="178"/>
      <c r="I78" s="31">
        <f t="shared" si="0"/>
        <v>1150</v>
      </c>
    </row>
    <row r="79" spans="1:9" s="1" customFormat="1" ht="15" thickBot="1" x14ac:dyDescent="0.4">
      <c r="A79" s="82">
        <v>70</v>
      </c>
      <c r="B79" s="173"/>
      <c r="C79" s="132">
        <v>43362</v>
      </c>
      <c r="D79" s="91">
        <v>6464062</v>
      </c>
      <c r="E79" s="27" t="str">
        <f>VLOOKUP(D79,[1]TERCEROS!$A$2:$C$4000,3,FALSE)</f>
        <v>PARKMOTO</v>
      </c>
      <c r="F79" s="28" t="s">
        <v>287</v>
      </c>
      <c r="G79" s="87">
        <v>2200</v>
      </c>
      <c r="H79" s="180"/>
      <c r="I79" s="89">
        <f t="shared" si="0"/>
        <v>2200</v>
      </c>
    </row>
    <row r="80" spans="1:9" s="1" customFormat="1" ht="15" thickBot="1" x14ac:dyDescent="0.4">
      <c r="A80" s="82">
        <v>71</v>
      </c>
      <c r="B80" s="173"/>
      <c r="C80" s="132">
        <v>43368</v>
      </c>
      <c r="D80" s="91">
        <v>830102550</v>
      </c>
      <c r="E80" s="92" t="s">
        <v>176</v>
      </c>
      <c r="F80" s="86" t="s">
        <v>287</v>
      </c>
      <c r="G80" s="87">
        <v>3300</v>
      </c>
      <c r="H80" s="180">
        <f>+G80*19%</f>
        <v>627</v>
      </c>
      <c r="I80" s="89">
        <f t="shared" si="0"/>
        <v>3927</v>
      </c>
    </row>
    <row r="81" spans="1:37" s="1" customFormat="1" ht="15" thickBot="1" x14ac:dyDescent="0.4">
      <c r="A81" s="82">
        <v>72</v>
      </c>
      <c r="B81" s="9" t="s">
        <v>53</v>
      </c>
      <c r="C81" s="126">
        <v>43376</v>
      </c>
      <c r="D81" s="127">
        <v>860045752</v>
      </c>
      <c r="E81" s="145" t="str">
        <f>VLOOKUP(D81,[1]TERCEROS!$A$2:$C$4000,3,FALSE)</f>
        <v>AUROS COPIAS SA</v>
      </c>
      <c r="F81" s="128" t="s">
        <v>299</v>
      </c>
      <c r="G81" s="129">
        <v>257563</v>
      </c>
      <c r="H81" s="202">
        <f>+G81*19%</f>
        <v>48936.97</v>
      </c>
      <c r="I81" s="131">
        <f t="shared" si="0"/>
        <v>306499.96999999997</v>
      </c>
    </row>
    <row r="82" spans="1:37" s="1" customFormat="1" ht="15" thickBot="1" x14ac:dyDescent="0.4">
      <c r="A82" s="82">
        <v>73</v>
      </c>
      <c r="B82" s="194" t="s">
        <v>300</v>
      </c>
      <c r="C82" s="126">
        <v>43375</v>
      </c>
      <c r="D82" s="127">
        <v>10709493</v>
      </c>
      <c r="E82" s="145" t="s">
        <v>301</v>
      </c>
      <c r="F82" s="128" t="s">
        <v>302</v>
      </c>
      <c r="G82" s="129">
        <v>165000</v>
      </c>
      <c r="H82" s="202"/>
      <c r="I82" s="131">
        <f t="shared" si="0"/>
        <v>165000</v>
      </c>
    </row>
    <row r="83" spans="1:37" s="1" customFormat="1" ht="24.5" thickBot="1" x14ac:dyDescent="0.4">
      <c r="A83" s="82">
        <v>74</v>
      </c>
      <c r="B83" s="340" t="s">
        <v>32</v>
      </c>
      <c r="C83" s="95">
        <v>43375</v>
      </c>
      <c r="D83" s="96">
        <v>900373938</v>
      </c>
      <c r="E83" s="97" t="str">
        <f>VLOOKUP(D83,[1]TERCEROS!$A$2:$C$4000,3,FALSE)</f>
        <v>ATODATINTA LTDA</v>
      </c>
      <c r="F83" s="98" t="s">
        <v>303</v>
      </c>
      <c r="G83" s="99">
        <v>556302</v>
      </c>
      <c r="H83" s="201">
        <f>+G83*19%</f>
        <v>105697.38</v>
      </c>
      <c r="I83" s="101">
        <f t="shared" si="0"/>
        <v>661999.38</v>
      </c>
    </row>
    <row r="84" spans="1:37" s="1" customFormat="1" ht="15" thickBot="1" x14ac:dyDescent="0.4">
      <c r="A84" s="82">
        <v>75</v>
      </c>
      <c r="B84" s="341"/>
      <c r="C84" s="203">
        <v>43374</v>
      </c>
      <c r="D84" s="120">
        <v>11202446</v>
      </c>
      <c r="E84" s="121" t="str">
        <f>VLOOKUP(D84,[1]TERCEROS!$A$2:$C$4000,3,FALSE)</f>
        <v>CARLOS EMILIANO MARTINEZ CRISTANCHO</v>
      </c>
      <c r="F84" s="122" t="s">
        <v>307</v>
      </c>
      <c r="G84" s="123">
        <v>120000</v>
      </c>
      <c r="H84" s="204"/>
      <c r="I84" s="125">
        <v>120000</v>
      </c>
    </row>
    <row r="85" spans="1:37" s="1" customFormat="1" ht="15" thickBot="1" x14ac:dyDescent="0.4">
      <c r="A85" s="82">
        <v>76</v>
      </c>
      <c r="B85" s="341"/>
      <c r="C85" s="108">
        <v>43370</v>
      </c>
      <c r="D85" s="26">
        <v>26470489</v>
      </c>
      <c r="E85" s="27" t="s">
        <v>308</v>
      </c>
      <c r="F85" s="28" t="s">
        <v>307</v>
      </c>
      <c r="G85" s="29">
        <v>130000</v>
      </c>
      <c r="H85" s="178"/>
      <c r="I85" s="31">
        <v>130000</v>
      </c>
    </row>
    <row r="86" spans="1:37" s="1" customFormat="1" ht="18.75" customHeight="1" thickBot="1" x14ac:dyDescent="0.4">
      <c r="A86" s="82">
        <v>77</v>
      </c>
      <c r="B86" s="340" t="s">
        <v>278</v>
      </c>
      <c r="C86" s="203">
        <v>43374</v>
      </c>
      <c r="D86" s="120">
        <v>1019019608</v>
      </c>
      <c r="E86" s="121" t="str">
        <f>VLOOKUP(D86,[1]TERCEROS!$A$2:$C$4000,3,FALSE)</f>
        <v>LUIS ANDRES BAYONA</v>
      </c>
      <c r="F86" s="122" t="s">
        <v>304</v>
      </c>
      <c r="G86" s="123">
        <v>200000</v>
      </c>
      <c r="H86" s="204">
        <v>0</v>
      </c>
      <c r="I86" s="125">
        <f t="shared" si="0"/>
        <v>200000</v>
      </c>
    </row>
    <row r="87" spans="1:37" s="1" customFormat="1" ht="18.75" customHeight="1" thickBot="1" x14ac:dyDescent="0.4">
      <c r="A87" s="82">
        <v>78</v>
      </c>
      <c r="B87" s="341"/>
      <c r="C87" s="108">
        <v>43375</v>
      </c>
      <c r="D87" s="26">
        <v>1052312445</v>
      </c>
      <c r="E87" s="27" t="str">
        <f>VLOOKUP(D87,[1]TERCEROS!$A$2:$C$4000,3,FALSE)</f>
        <v>JHON IVAN SOLANO RINCON</v>
      </c>
      <c r="F87" s="28" t="s">
        <v>305</v>
      </c>
      <c r="G87" s="29">
        <v>200000</v>
      </c>
      <c r="H87" s="178"/>
      <c r="I87" s="31">
        <f t="shared" si="0"/>
        <v>200000</v>
      </c>
    </row>
    <row r="88" spans="1:37" s="1" customFormat="1" ht="18.75" customHeight="1" thickBot="1" x14ac:dyDescent="0.4">
      <c r="A88" s="82">
        <v>79</v>
      </c>
      <c r="B88" s="346"/>
      <c r="C88" s="109">
        <v>43370</v>
      </c>
      <c r="D88" s="110">
        <v>79970236</v>
      </c>
      <c r="E88" s="111" t="str">
        <f>VLOOKUP(D88,[1]TERCEROS!$A$2:$C$4000,3,FALSE)</f>
        <v>DUMAR RICARDO BUITRAGO PIÑEROS</v>
      </c>
      <c r="F88" s="112" t="s">
        <v>306</v>
      </c>
      <c r="G88" s="113">
        <v>100000</v>
      </c>
      <c r="H88" s="179"/>
      <c r="I88" s="115">
        <f t="shared" si="0"/>
        <v>100000</v>
      </c>
    </row>
    <row r="89" spans="1:37" s="1" customFormat="1" ht="18.75" customHeight="1" thickBot="1" x14ac:dyDescent="0.4">
      <c r="A89" s="173"/>
      <c r="B89" s="182"/>
      <c r="C89" s="183"/>
      <c r="D89" s="184"/>
      <c r="E89" s="185"/>
      <c r="F89" s="186"/>
      <c r="G89" s="187"/>
      <c r="H89" s="188"/>
      <c r="I89" s="189"/>
    </row>
    <row r="90" spans="1:37" s="2" customFormat="1" ht="15.75" customHeight="1" thickBot="1" x14ac:dyDescent="0.4">
      <c r="A90" s="335" t="s">
        <v>310</v>
      </c>
      <c r="B90" s="329"/>
      <c r="C90" s="329"/>
      <c r="D90" s="329"/>
      <c r="E90" s="330"/>
      <c r="F90" s="93" t="s">
        <v>24</v>
      </c>
      <c r="G90" s="94">
        <f>SUM(G10:G88)</f>
        <v>2756521.8739495799</v>
      </c>
      <c r="H90" s="94"/>
      <c r="I90" s="94">
        <f>SUM(I10:I88)</f>
        <v>2933663.03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s="2" customFormat="1" ht="15" customHeight="1" x14ac:dyDescent="0.35">
      <c r="A91" s="300" t="s">
        <v>26</v>
      </c>
      <c r="B91" s="301"/>
      <c r="C91" s="301"/>
      <c r="D91" s="306" t="s">
        <v>58</v>
      </c>
      <c r="E91" s="307"/>
      <c r="F91" s="312"/>
      <c r="G91" s="315" t="s">
        <v>16</v>
      </c>
      <c r="H91" s="316"/>
      <c r="I91" s="35">
        <v>3000000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s="2" customFormat="1" ht="15" customHeight="1" x14ac:dyDescent="0.35">
      <c r="A92" s="302"/>
      <c r="B92" s="303"/>
      <c r="C92" s="303"/>
      <c r="D92" s="308"/>
      <c r="E92" s="309"/>
      <c r="F92" s="313"/>
      <c r="G92" s="317" t="s">
        <v>17</v>
      </c>
      <c r="H92" s="318"/>
      <c r="I92" s="36">
        <f>+I91-I90</f>
        <v>66336.970000000205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s="1" customFormat="1" ht="15.75" customHeight="1" thickBot="1" x14ac:dyDescent="0.4">
      <c r="A93" s="304"/>
      <c r="B93" s="305"/>
      <c r="C93" s="305"/>
      <c r="D93" s="310"/>
      <c r="E93" s="311"/>
      <c r="F93" s="314"/>
      <c r="G93" s="289" t="s">
        <v>5</v>
      </c>
      <c r="H93" s="290"/>
      <c r="I93" s="37">
        <f>+I91-I92</f>
        <v>2933663.03</v>
      </c>
    </row>
    <row r="94" spans="1:37" s="1" customFormat="1" ht="15" thickBot="1" x14ac:dyDescent="0.4">
      <c r="A94" s="291" t="s">
        <v>25</v>
      </c>
      <c r="B94" s="292"/>
      <c r="C94" s="292"/>
      <c r="D94" s="293"/>
      <c r="E94" s="38"/>
      <c r="F94" s="38"/>
      <c r="G94" s="38"/>
      <c r="H94" s="38"/>
      <c r="I94" s="39"/>
    </row>
    <row r="95" spans="1:37" s="1" customFormat="1" ht="15" thickBot="1" x14ac:dyDescent="0.4">
      <c r="A95" s="40"/>
      <c r="B95" s="41" t="s">
        <v>6</v>
      </c>
      <c r="C95" s="42">
        <f>D110</f>
        <v>1400</v>
      </c>
      <c r="D95" s="39"/>
      <c r="E95" s="43">
        <f>C95+C97+I90</f>
        <v>2999791.03</v>
      </c>
      <c r="F95" s="43"/>
      <c r="G95" s="38"/>
      <c r="H95" s="38"/>
      <c r="I95" s="44"/>
    </row>
    <row r="96" spans="1:37" s="1" customFormat="1" ht="15" thickBot="1" x14ac:dyDescent="0.4">
      <c r="A96" s="40"/>
      <c r="B96" s="41" t="s">
        <v>309</v>
      </c>
      <c r="C96" s="45">
        <v>64728</v>
      </c>
      <c r="D96" s="39"/>
      <c r="E96" s="43">
        <f>+E95-I91</f>
        <v>-208.97000000020489</v>
      </c>
      <c r="F96" s="38"/>
      <c r="G96" s="38"/>
      <c r="H96" s="38"/>
      <c r="I96" s="39"/>
    </row>
    <row r="97" spans="1:37" s="1" customFormat="1" ht="15" thickBot="1" x14ac:dyDescent="0.4">
      <c r="A97" s="40"/>
      <c r="B97" s="47" t="s">
        <v>7</v>
      </c>
      <c r="C97" s="45">
        <f>SUM(C96:C96)</f>
        <v>64728</v>
      </c>
      <c r="D97" s="39"/>
      <c r="E97" s="48"/>
      <c r="F97" s="48"/>
      <c r="G97" s="48"/>
      <c r="H97" s="48"/>
      <c r="I97" s="49"/>
    </row>
    <row r="98" spans="1:37" s="1" customFormat="1" ht="15" thickBot="1" x14ac:dyDescent="0.4">
      <c r="A98" s="40"/>
      <c r="B98" s="50"/>
      <c r="C98" s="51"/>
      <c r="D98" s="39"/>
      <c r="E98" s="48"/>
      <c r="F98" s="48"/>
      <c r="G98" s="48"/>
      <c r="H98" s="48"/>
      <c r="I98" s="49"/>
    </row>
    <row r="99" spans="1:37" s="1" customFormat="1" ht="15" thickBot="1" x14ac:dyDescent="0.4">
      <c r="A99" s="40"/>
      <c r="B99" s="52"/>
      <c r="C99" s="53" t="s">
        <v>11</v>
      </c>
      <c r="D99" s="54" t="s">
        <v>4</v>
      </c>
      <c r="E99" s="38"/>
      <c r="F99" s="55"/>
      <c r="G99" s="38"/>
      <c r="H99" s="38"/>
      <c r="I99" s="39"/>
    </row>
    <row r="100" spans="1:37" s="1" customFormat="1" ht="14.5" x14ac:dyDescent="0.35">
      <c r="A100" s="40"/>
      <c r="B100" s="56"/>
      <c r="C100" s="57">
        <v>50000</v>
      </c>
      <c r="D100" s="58">
        <f t="shared" ref="D100:D109" si="1">+C100*B100</f>
        <v>0</v>
      </c>
      <c r="E100" s="171" t="s">
        <v>29</v>
      </c>
      <c r="F100" s="60" t="s">
        <v>27</v>
      </c>
      <c r="G100" s="294" t="s">
        <v>28</v>
      </c>
      <c r="H100" s="294"/>
      <c r="I100" s="295"/>
    </row>
    <row r="101" spans="1:37" s="5" customFormat="1" ht="15" customHeight="1" x14ac:dyDescent="0.35">
      <c r="A101" s="40"/>
      <c r="B101" s="62"/>
      <c r="C101" s="63">
        <v>20000</v>
      </c>
      <c r="D101" s="58">
        <f t="shared" si="1"/>
        <v>0</v>
      </c>
      <c r="E101" s="169" t="s">
        <v>19</v>
      </c>
      <c r="F101" s="169" t="s">
        <v>20</v>
      </c>
      <c r="G101" s="296" t="s">
        <v>21</v>
      </c>
      <c r="H101" s="296"/>
      <c r="I101" s="29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s="5" customFormat="1" ht="15" customHeight="1" x14ac:dyDescent="0.35">
      <c r="A102" s="40"/>
      <c r="B102" s="62"/>
      <c r="C102" s="63">
        <v>10000</v>
      </c>
      <c r="D102" s="58">
        <f t="shared" si="1"/>
        <v>0</v>
      </c>
      <c r="E102" s="170" t="s">
        <v>79</v>
      </c>
      <c r="F102" s="170" t="s">
        <v>80</v>
      </c>
      <c r="G102" s="298" t="s">
        <v>81</v>
      </c>
      <c r="H102" s="298"/>
      <c r="I102" s="29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s="5" customFormat="1" ht="15" customHeight="1" x14ac:dyDescent="0.35">
      <c r="A103" s="40"/>
      <c r="B103" s="62"/>
      <c r="C103" s="63">
        <v>5000</v>
      </c>
      <c r="D103" s="58">
        <f t="shared" si="1"/>
        <v>0</v>
      </c>
      <c r="E103" s="38" t="s">
        <v>0</v>
      </c>
      <c r="F103" s="38"/>
      <c r="G103" s="38"/>
      <c r="H103" s="38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5" customFormat="1" ht="15" customHeight="1" x14ac:dyDescent="0.35">
      <c r="A104" s="40"/>
      <c r="B104" s="62"/>
      <c r="C104" s="63">
        <v>2000</v>
      </c>
      <c r="D104" s="58">
        <f t="shared" si="1"/>
        <v>0</v>
      </c>
      <c r="E104" s="38"/>
      <c r="F104" s="38" t="s">
        <v>8</v>
      </c>
      <c r="G104" s="38"/>
      <c r="H104" s="38"/>
      <c r="I104" s="3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s="5" customFormat="1" ht="15" customHeight="1" x14ac:dyDescent="0.35">
      <c r="A105" s="40"/>
      <c r="B105" s="62"/>
      <c r="C105" s="63">
        <v>1000</v>
      </c>
      <c r="D105" s="58">
        <f t="shared" si="1"/>
        <v>0</v>
      </c>
      <c r="E105" s="38"/>
      <c r="F105" s="38"/>
      <c r="G105" s="38"/>
      <c r="H105" s="38"/>
      <c r="I105" s="3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s="1" customFormat="1" ht="15" customHeight="1" x14ac:dyDescent="0.35">
      <c r="A106" s="40"/>
      <c r="B106" s="62"/>
      <c r="C106" s="63">
        <v>500</v>
      </c>
      <c r="D106" s="58">
        <f t="shared" si="1"/>
        <v>0</v>
      </c>
      <c r="E106" s="38"/>
      <c r="F106" s="38"/>
      <c r="G106" s="38"/>
      <c r="H106" s="38"/>
      <c r="I106" s="39"/>
    </row>
    <row r="107" spans="1:37" s="1" customFormat="1" ht="15" customHeight="1" x14ac:dyDescent="0.35">
      <c r="A107" s="40"/>
      <c r="B107" s="62">
        <v>1</v>
      </c>
      <c r="C107" s="63">
        <v>200</v>
      </c>
      <c r="D107" s="58">
        <f t="shared" si="1"/>
        <v>200</v>
      </c>
      <c r="E107" s="38"/>
      <c r="F107" s="38"/>
      <c r="G107" s="38"/>
      <c r="H107" s="38"/>
      <c r="I107" s="39"/>
    </row>
    <row r="108" spans="1:37" s="1" customFormat="1" ht="15" customHeight="1" x14ac:dyDescent="0.35">
      <c r="A108" s="40"/>
      <c r="B108" s="62">
        <v>12</v>
      </c>
      <c r="C108" s="63">
        <v>100</v>
      </c>
      <c r="D108" s="58">
        <f>+C108*B108</f>
        <v>1200</v>
      </c>
      <c r="E108" s="38"/>
      <c r="F108" s="38"/>
      <c r="G108" s="38"/>
      <c r="H108" s="38"/>
      <c r="I108" s="39"/>
    </row>
    <row r="109" spans="1:37" s="5" customFormat="1" ht="15" customHeight="1" thickBot="1" x14ac:dyDescent="0.4">
      <c r="A109" s="40"/>
      <c r="B109" s="68"/>
      <c r="C109" s="69">
        <v>50</v>
      </c>
      <c r="D109" s="58">
        <f t="shared" si="1"/>
        <v>0</v>
      </c>
      <c r="E109" s="38"/>
      <c r="F109" s="38"/>
      <c r="G109" s="38"/>
      <c r="H109" s="38"/>
      <c r="I109" s="3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s="1" customFormat="1" ht="15" customHeight="1" thickBot="1" x14ac:dyDescent="0.4">
      <c r="A110" s="40"/>
      <c r="B110" s="171"/>
      <c r="C110" s="70"/>
      <c r="D110" s="71">
        <f>SUM(D100:D109)</f>
        <v>1400</v>
      </c>
      <c r="E110" s="38"/>
      <c r="F110" s="38"/>
      <c r="G110" s="38"/>
      <c r="H110" s="38"/>
      <c r="I110" s="39"/>
    </row>
    <row r="111" spans="1:37" s="5" customFormat="1" ht="15" customHeight="1" thickBot="1" x14ac:dyDescent="0.4">
      <c r="A111" s="72"/>
      <c r="B111" s="73"/>
      <c r="C111" s="74"/>
      <c r="D111" s="75"/>
      <c r="E111" s="76"/>
      <c r="F111" s="76"/>
      <c r="G111" s="76"/>
      <c r="H111" s="76"/>
      <c r="I111" s="7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s="5" customFormat="1" ht="22.5" customHeight="1" x14ac:dyDescent="0.35">
      <c r="A112" s="1"/>
      <c r="B112"/>
      <c r="C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s="3" customFormat="1" ht="22.5" customHeight="1" x14ac:dyDescent="0.35">
      <c r="A113"/>
      <c r="B113"/>
      <c r="C113" s="6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 s="3" customFormat="1" ht="22.5" customHeight="1" x14ac:dyDescent="0.35">
      <c r="A114"/>
      <c r="B114"/>
      <c r="C114" s="6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 s="3" customFormat="1" ht="22.5" customHeight="1" x14ac:dyDescent="0.35">
      <c r="A115"/>
      <c r="B115"/>
      <c r="C115" s="6"/>
      <c r="D115" s="7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</sheetData>
  <mergeCells count="23">
    <mergeCell ref="B86:B88"/>
    <mergeCell ref="A90:E90"/>
    <mergeCell ref="A94:D94"/>
    <mergeCell ref="G100:I100"/>
    <mergeCell ref="G101:I101"/>
    <mergeCell ref="G102:I102"/>
    <mergeCell ref="A91:C93"/>
    <mergeCell ref="D91:E93"/>
    <mergeCell ref="F91:F93"/>
    <mergeCell ref="G91:H91"/>
    <mergeCell ref="G92:H92"/>
    <mergeCell ref="G93:H93"/>
    <mergeCell ref="A1:B6"/>
    <mergeCell ref="C1:F3"/>
    <mergeCell ref="G1:I2"/>
    <mergeCell ref="G3:I4"/>
    <mergeCell ref="C4:F6"/>
    <mergeCell ref="G5:I6"/>
    <mergeCell ref="B83:B85"/>
    <mergeCell ref="B10:B78"/>
    <mergeCell ref="A7:B7"/>
    <mergeCell ref="C7:I7"/>
    <mergeCell ref="A8:I8"/>
  </mergeCells>
  <pageMargins left="0.25" right="0.25" top="0.75" bottom="0.75" header="0.3" footer="0.3"/>
  <pageSetup scale="5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11"/>
  <sheetViews>
    <sheetView showGridLines="0" topLeftCell="A37" workbookViewId="0">
      <selection activeCell="D47" sqref="D47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43389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199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199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340" t="s">
        <v>32</v>
      </c>
      <c r="C10" s="107">
        <v>43381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177">
        <v>0</v>
      </c>
      <c r="I10" s="22">
        <f>IF($K$14=1,G10+H10,G10*H10)</f>
        <v>9700</v>
      </c>
    </row>
    <row r="11" spans="1:12" s="1" customFormat="1" ht="15" thickBot="1" x14ac:dyDescent="0.4">
      <c r="A11" s="82">
        <v>2</v>
      </c>
      <c r="B11" s="341"/>
      <c r="C11" s="108">
        <v>43381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31">
        <f>IF($K$14=1,G11+H11,G11*H11)</f>
        <v>9700</v>
      </c>
    </row>
    <row r="12" spans="1:12" s="1" customFormat="1" ht="15" thickBot="1" x14ac:dyDescent="0.4">
      <c r="A12" s="82">
        <v>3</v>
      </c>
      <c r="B12" s="341"/>
      <c r="C12" s="108">
        <v>43380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31">
        <f t="shared" ref="I12:I84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43380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31">
        <f t="shared" si="0"/>
        <v>9700</v>
      </c>
    </row>
    <row r="14" spans="1:12" s="1" customFormat="1" ht="15" thickBot="1" x14ac:dyDescent="0.4">
      <c r="A14" s="82">
        <v>5</v>
      </c>
      <c r="B14" s="341"/>
      <c r="C14" s="108" t="s">
        <v>311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43379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43379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31">
        <f t="shared" si="0"/>
        <v>9700</v>
      </c>
    </row>
    <row r="17" spans="1:9" s="1" customFormat="1" ht="15" thickBot="1" x14ac:dyDescent="0.4">
      <c r="A17" s="82">
        <v>8</v>
      </c>
      <c r="B17" s="341"/>
      <c r="C17" s="108">
        <v>43380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31">
        <f t="shared" si="0"/>
        <v>9700</v>
      </c>
    </row>
    <row r="18" spans="1:9" s="1" customFormat="1" ht="15" thickBot="1" x14ac:dyDescent="0.4">
      <c r="A18" s="82">
        <v>9</v>
      </c>
      <c r="B18" s="341"/>
      <c r="C18" s="108">
        <v>43380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178">
        <v>0</v>
      </c>
      <c r="I18" s="31">
        <f t="shared" si="0"/>
        <v>9700</v>
      </c>
    </row>
    <row r="19" spans="1:9" s="1" customFormat="1" ht="15" thickBot="1" x14ac:dyDescent="0.4">
      <c r="A19" s="82">
        <v>10</v>
      </c>
      <c r="B19" s="341"/>
      <c r="C19" s="108">
        <v>43379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31">
        <f t="shared" si="0"/>
        <v>9700</v>
      </c>
    </row>
    <row r="20" spans="1:9" s="1" customFormat="1" ht="15" thickBot="1" x14ac:dyDescent="0.4">
      <c r="A20" s="82">
        <v>11</v>
      </c>
      <c r="B20" s="341"/>
      <c r="C20" s="108" t="s">
        <v>312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43378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178">
        <v>0</v>
      </c>
      <c r="I21" s="31">
        <f t="shared" si="0"/>
        <v>9700</v>
      </c>
    </row>
    <row r="22" spans="1:9" s="1" customFormat="1" ht="15" thickBot="1" x14ac:dyDescent="0.4">
      <c r="A22" s="82">
        <v>13</v>
      </c>
      <c r="B22" s="341"/>
      <c r="C22" s="108">
        <v>43375</v>
      </c>
      <c r="D22" s="26">
        <v>900177271</v>
      </c>
      <c r="E22" s="27" t="s">
        <v>313</v>
      </c>
      <c r="F22" s="28" t="s">
        <v>314</v>
      </c>
      <c r="G22" s="29">
        <v>6000</v>
      </c>
      <c r="H22" s="178">
        <v>0</v>
      </c>
      <c r="I22" s="31">
        <f t="shared" si="0"/>
        <v>6000</v>
      </c>
    </row>
    <row r="23" spans="1:9" s="1" customFormat="1" ht="15" thickBot="1" x14ac:dyDescent="0.4">
      <c r="A23" s="82">
        <v>14</v>
      </c>
      <c r="B23" s="341"/>
      <c r="C23" s="108">
        <v>43385</v>
      </c>
      <c r="D23" s="26">
        <v>830054076</v>
      </c>
      <c r="E23" s="27" t="str">
        <f>VLOOKUP(D23,[1]TERCEROS!$A$2:$C$4000,3,FALSE)</f>
        <v>FIDEICOMISOS SOCIEDAD FIDUCIARIA</v>
      </c>
      <c r="F23" s="28" t="s">
        <v>59</v>
      </c>
      <c r="G23" s="29">
        <v>7800</v>
      </c>
      <c r="H23" s="178">
        <v>0</v>
      </c>
      <c r="I23" s="31">
        <f t="shared" si="0"/>
        <v>7800</v>
      </c>
    </row>
    <row r="24" spans="1:9" s="1" customFormat="1" ht="15" thickBot="1" x14ac:dyDescent="0.4">
      <c r="A24" s="82">
        <v>15</v>
      </c>
      <c r="B24" s="341"/>
      <c r="C24" s="108">
        <v>43385</v>
      </c>
      <c r="D24" s="26">
        <v>52145008</v>
      </c>
      <c r="E24" s="27" t="s">
        <v>174</v>
      </c>
      <c r="F24" s="28" t="s">
        <v>35</v>
      </c>
      <c r="G24" s="29">
        <v>2400</v>
      </c>
      <c r="H24" s="178">
        <v>0</v>
      </c>
      <c r="I24" s="31">
        <f t="shared" si="0"/>
        <v>2400</v>
      </c>
    </row>
    <row r="25" spans="1:9" s="1" customFormat="1" ht="15" thickBot="1" x14ac:dyDescent="0.4">
      <c r="A25" s="82">
        <v>16</v>
      </c>
      <c r="B25" s="341"/>
      <c r="C25" s="108">
        <v>43381</v>
      </c>
      <c r="D25" s="26">
        <v>830107120</v>
      </c>
      <c r="E25" s="27" t="s">
        <v>315</v>
      </c>
      <c r="F25" s="28" t="s">
        <v>35</v>
      </c>
      <c r="G25" s="29">
        <v>4100</v>
      </c>
      <c r="H25" s="178">
        <v>0</v>
      </c>
      <c r="I25" s="31">
        <f t="shared" si="0"/>
        <v>4100</v>
      </c>
    </row>
    <row r="26" spans="1:9" s="1" customFormat="1" ht="15" thickBot="1" x14ac:dyDescent="0.4">
      <c r="A26" s="82">
        <v>17</v>
      </c>
      <c r="B26" s="341"/>
      <c r="C26" s="108">
        <v>43381</v>
      </c>
      <c r="D26" s="26">
        <v>900380028</v>
      </c>
      <c r="E26" s="27" t="str">
        <f>VLOOKUP(D26,[1]TERCEROS!$A$2:$C$4000,3,FALSE)</f>
        <v>INMOBILIARIA CENTRO SAN MARTIN</v>
      </c>
      <c r="F26" s="28" t="s">
        <v>35</v>
      </c>
      <c r="G26" s="29">
        <v>12825</v>
      </c>
      <c r="H26" s="178">
        <v>0</v>
      </c>
      <c r="I26" s="31">
        <f t="shared" si="0"/>
        <v>12825</v>
      </c>
    </row>
    <row r="27" spans="1:9" s="1" customFormat="1" ht="15" thickBot="1" x14ac:dyDescent="0.4">
      <c r="A27" s="82">
        <v>18</v>
      </c>
      <c r="B27" s="341"/>
      <c r="C27" s="108">
        <v>43382</v>
      </c>
      <c r="D27" s="26">
        <v>830054076</v>
      </c>
      <c r="E27" s="27" t="str">
        <f>VLOOKUP(D27,[1]TERCEROS!$A$2:$C$4000,3,FALSE)</f>
        <v>FIDEICOMISOS SOCIEDAD FIDUCIARIA</v>
      </c>
      <c r="F27" s="28" t="s">
        <v>59</v>
      </c>
      <c r="G27" s="29">
        <v>9700</v>
      </c>
      <c r="H27" s="178">
        <v>0</v>
      </c>
      <c r="I27" s="31">
        <f t="shared" si="0"/>
        <v>9700</v>
      </c>
    </row>
    <row r="28" spans="1:9" s="1" customFormat="1" ht="15" thickBot="1" x14ac:dyDescent="0.4">
      <c r="A28" s="82">
        <v>19</v>
      </c>
      <c r="B28" s="341"/>
      <c r="C28" s="108">
        <v>43382</v>
      </c>
      <c r="D28" s="26">
        <v>830054076</v>
      </c>
      <c r="E28" s="27" t="str">
        <f>VLOOKUP(D28,[1]TERCEROS!$A$2:$C$4000,3,FALSE)</f>
        <v>FIDEICOMISOS SOCIEDAD FIDUCIARIA</v>
      </c>
      <c r="F28" s="28" t="s">
        <v>59</v>
      </c>
      <c r="G28" s="29">
        <v>9700</v>
      </c>
      <c r="H28" s="178">
        <v>0</v>
      </c>
      <c r="I28" s="31">
        <f t="shared" si="0"/>
        <v>9700</v>
      </c>
    </row>
    <row r="29" spans="1:9" s="1" customFormat="1" ht="15" thickBot="1" x14ac:dyDescent="0.4">
      <c r="A29" s="82">
        <v>20</v>
      </c>
      <c r="B29" s="341"/>
      <c r="C29" s="108">
        <v>43382</v>
      </c>
      <c r="D29" s="26">
        <v>830054076</v>
      </c>
      <c r="E29" s="27" t="str">
        <f>VLOOKUP(D29,[1]TERCEROS!$A$2:$C$4000,3,FALSE)</f>
        <v>FIDEICOMISOS SOCIEDAD FIDUCIARIA</v>
      </c>
      <c r="F29" s="28" t="s">
        <v>59</v>
      </c>
      <c r="G29" s="29">
        <v>14100</v>
      </c>
      <c r="H29" s="178">
        <v>0</v>
      </c>
      <c r="I29" s="31">
        <f t="shared" si="0"/>
        <v>14100</v>
      </c>
    </row>
    <row r="30" spans="1:9" s="1" customFormat="1" ht="15" thickBot="1" x14ac:dyDescent="0.4">
      <c r="A30" s="82">
        <v>21</v>
      </c>
      <c r="B30" s="341"/>
      <c r="C30" s="108">
        <v>43382</v>
      </c>
      <c r="D30" s="26">
        <v>830054076</v>
      </c>
      <c r="E30" s="27" t="str">
        <f>VLOOKUP(D30,[1]TERCEROS!$A$2:$C$4000,3,FALSE)</f>
        <v>FIDEICOMISOS SOCIEDAD FIDUCIARIA</v>
      </c>
      <c r="F30" s="28" t="s">
        <v>59</v>
      </c>
      <c r="G30" s="29">
        <v>14100</v>
      </c>
      <c r="H30" s="178">
        <v>0</v>
      </c>
      <c r="I30" s="31">
        <f t="shared" si="0"/>
        <v>14100</v>
      </c>
    </row>
    <row r="31" spans="1:9" s="1" customFormat="1" ht="15" thickBot="1" x14ac:dyDescent="0.4">
      <c r="A31" s="82">
        <v>22</v>
      </c>
      <c r="B31" s="341"/>
      <c r="C31" s="108">
        <v>43382</v>
      </c>
      <c r="D31" s="26">
        <v>830054076</v>
      </c>
      <c r="E31" s="27" t="str">
        <f>VLOOKUP(D31,[1]TERCEROS!$A$2:$C$4000,3,FALSE)</f>
        <v>FIDEICOMISOS SOCIEDAD FIDUCIARIA</v>
      </c>
      <c r="F31" s="28" t="s">
        <v>59</v>
      </c>
      <c r="G31" s="29">
        <v>11600</v>
      </c>
      <c r="H31" s="178">
        <v>0</v>
      </c>
      <c r="I31" s="31">
        <f t="shared" si="0"/>
        <v>11600</v>
      </c>
    </row>
    <row r="32" spans="1:9" s="1" customFormat="1" ht="15" thickBot="1" x14ac:dyDescent="0.4">
      <c r="A32" s="82">
        <v>23</v>
      </c>
      <c r="B32" s="341"/>
      <c r="C32" s="108">
        <v>43382</v>
      </c>
      <c r="D32" s="26">
        <v>830054076</v>
      </c>
      <c r="E32" s="27" t="str">
        <f>VLOOKUP(D32,[1]TERCEROS!$A$2:$C$4000,3,FALSE)</f>
        <v>FIDEICOMISOS SOCIEDAD FIDUCIARIA</v>
      </c>
      <c r="F32" s="28" t="s">
        <v>59</v>
      </c>
      <c r="G32" s="29">
        <v>11600</v>
      </c>
      <c r="H32" s="178">
        <v>0</v>
      </c>
      <c r="I32" s="31">
        <f t="shared" si="0"/>
        <v>11600</v>
      </c>
    </row>
    <row r="33" spans="1:9" s="1" customFormat="1" ht="15" thickBot="1" x14ac:dyDescent="0.4">
      <c r="A33" s="82">
        <v>24</v>
      </c>
      <c r="B33" s="341"/>
      <c r="C33" s="108">
        <v>43382</v>
      </c>
      <c r="D33" s="26">
        <v>830054076</v>
      </c>
      <c r="E33" s="27" t="str">
        <f>VLOOKUP(D33,[1]TERCEROS!$A$2:$C$4000,3,FALSE)</f>
        <v>FIDEICOMISOS SOCIEDAD FIDUCIARIA</v>
      </c>
      <c r="F33" s="28" t="s">
        <v>59</v>
      </c>
      <c r="G33" s="29">
        <v>9700</v>
      </c>
      <c r="H33" s="178">
        <v>0</v>
      </c>
      <c r="I33" s="31">
        <f t="shared" si="0"/>
        <v>9700</v>
      </c>
    </row>
    <row r="34" spans="1:9" s="1" customFormat="1" ht="15" thickBot="1" x14ac:dyDescent="0.4">
      <c r="A34" s="82">
        <v>25</v>
      </c>
      <c r="B34" s="341"/>
      <c r="C34" s="108">
        <v>43385</v>
      </c>
      <c r="D34" s="26">
        <v>830054076</v>
      </c>
      <c r="E34" s="27" t="str">
        <f>VLOOKUP(D34,[1]TERCEROS!$A$2:$C$4000,3,FALSE)</f>
        <v>FIDEICOMISOS SOCIEDAD FIDUCIARIA</v>
      </c>
      <c r="F34" s="28" t="s">
        <v>59</v>
      </c>
      <c r="G34" s="29">
        <v>9700</v>
      </c>
      <c r="H34" s="178">
        <v>0</v>
      </c>
      <c r="I34" s="31">
        <f t="shared" si="0"/>
        <v>9700</v>
      </c>
    </row>
    <row r="35" spans="1:9" s="1" customFormat="1" ht="15" thickBot="1" x14ac:dyDescent="0.4">
      <c r="A35" s="82">
        <v>26</v>
      </c>
      <c r="B35" s="341"/>
      <c r="C35" s="108">
        <v>43385</v>
      </c>
      <c r="D35" s="26">
        <v>830054076</v>
      </c>
      <c r="E35" s="27" t="str">
        <f>VLOOKUP(D35,[1]TERCEROS!$A$2:$C$4000,3,FALSE)</f>
        <v>FIDEICOMISOS SOCIEDAD FIDUCIARIA</v>
      </c>
      <c r="F35" s="28" t="s">
        <v>59</v>
      </c>
      <c r="G35" s="29">
        <v>11700</v>
      </c>
      <c r="H35" s="178">
        <v>0</v>
      </c>
      <c r="I35" s="31">
        <f t="shared" si="0"/>
        <v>11700</v>
      </c>
    </row>
    <row r="36" spans="1:9" s="1" customFormat="1" ht="15" thickBot="1" x14ac:dyDescent="0.4">
      <c r="A36" s="82">
        <v>27</v>
      </c>
      <c r="B36" s="341"/>
      <c r="C36" s="132">
        <v>43379</v>
      </c>
      <c r="D36" s="91">
        <v>11442335</v>
      </c>
      <c r="E36" s="92" t="s">
        <v>316</v>
      </c>
      <c r="F36" s="86" t="s">
        <v>272</v>
      </c>
      <c r="G36" s="87">
        <v>65400</v>
      </c>
      <c r="H36" s="180">
        <v>0</v>
      </c>
      <c r="I36" s="89">
        <f t="shared" si="0"/>
        <v>65400</v>
      </c>
    </row>
    <row r="37" spans="1:9" s="1" customFormat="1" ht="15" thickBot="1" x14ac:dyDescent="0.4">
      <c r="A37" s="82">
        <v>28</v>
      </c>
      <c r="B37" s="9" t="s">
        <v>84</v>
      </c>
      <c r="C37" s="95">
        <v>43376</v>
      </c>
      <c r="D37" s="96">
        <v>860528396</v>
      </c>
      <c r="E37" s="97" t="str">
        <f>VLOOKUP(D37,[1]TERCEROS!$A$2:$C$4000,3,FALSE)</f>
        <v>COMERCIAL PAPELERA LTDA</v>
      </c>
      <c r="F37" s="98" t="s">
        <v>317</v>
      </c>
      <c r="G37" s="99">
        <v>56650</v>
      </c>
      <c r="H37" s="201">
        <v>0</v>
      </c>
      <c r="I37" s="101">
        <f t="shared" si="0"/>
        <v>56650</v>
      </c>
    </row>
    <row r="38" spans="1:9" s="1" customFormat="1" ht="15" thickBot="1" x14ac:dyDescent="0.4">
      <c r="A38" s="82">
        <v>29</v>
      </c>
      <c r="B38" s="340" t="s">
        <v>32</v>
      </c>
      <c r="C38" s="107">
        <v>43382</v>
      </c>
      <c r="D38" s="17">
        <v>900491889</v>
      </c>
      <c r="E38" s="18" t="str">
        <f>VLOOKUP(D38,[1]TERCEROS!$A$2:$C$4000,3,FALSE)</f>
        <v>EDS TERMINAL NEIVA</v>
      </c>
      <c r="F38" s="19" t="s">
        <v>34</v>
      </c>
      <c r="G38" s="20">
        <v>20000</v>
      </c>
      <c r="H38" s="177">
        <v>0</v>
      </c>
      <c r="I38" s="22">
        <f t="shared" si="0"/>
        <v>20000</v>
      </c>
    </row>
    <row r="39" spans="1:9" s="1" customFormat="1" ht="15" thickBot="1" x14ac:dyDescent="0.4">
      <c r="A39" s="82">
        <v>30</v>
      </c>
      <c r="B39" s="341"/>
      <c r="C39" s="108">
        <v>43382</v>
      </c>
      <c r="D39" s="26">
        <v>830503849</v>
      </c>
      <c r="E39" s="27" t="s">
        <v>318</v>
      </c>
      <c r="F39" s="28" t="s">
        <v>34</v>
      </c>
      <c r="G39" s="29">
        <v>10000</v>
      </c>
      <c r="H39" s="178">
        <v>0</v>
      </c>
      <c r="I39" s="31">
        <f t="shared" si="0"/>
        <v>10000</v>
      </c>
    </row>
    <row r="40" spans="1:9" s="1" customFormat="1" ht="15" thickBot="1" x14ac:dyDescent="0.4">
      <c r="A40" s="82">
        <v>31</v>
      </c>
      <c r="B40" s="341"/>
      <c r="C40" s="108">
        <v>43382</v>
      </c>
      <c r="D40" s="26">
        <v>79215906</v>
      </c>
      <c r="E40" s="27" t="s">
        <v>319</v>
      </c>
      <c r="F40" s="28" t="s">
        <v>35</v>
      </c>
      <c r="G40" s="29">
        <v>7400</v>
      </c>
      <c r="H40" s="178">
        <v>0</v>
      </c>
      <c r="I40" s="31">
        <f t="shared" si="0"/>
        <v>7400</v>
      </c>
    </row>
    <row r="41" spans="1:9" s="1" customFormat="1" ht="15" thickBot="1" x14ac:dyDescent="0.4">
      <c r="A41" s="82">
        <v>32</v>
      </c>
      <c r="B41" s="341"/>
      <c r="C41" s="108">
        <v>43376</v>
      </c>
      <c r="D41" s="26">
        <v>830054076</v>
      </c>
      <c r="E41" s="27" t="str">
        <f>VLOOKUP(D41,[1]TERCEROS!$A$2:$C$4000,3,FALSE)</f>
        <v>FIDEICOMISOS SOCIEDAD FIDUCIARIA</v>
      </c>
      <c r="F41" s="28" t="s">
        <v>59</v>
      </c>
      <c r="G41" s="29">
        <v>9700</v>
      </c>
      <c r="H41" s="178">
        <v>0</v>
      </c>
      <c r="I41" s="31">
        <f t="shared" si="0"/>
        <v>9700</v>
      </c>
    </row>
    <row r="42" spans="1:9" s="1" customFormat="1" ht="15" thickBot="1" x14ac:dyDescent="0.4">
      <c r="A42" s="82">
        <v>33</v>
      </c>
      <c r="B42" s="341"/>
      <c r="C42" s="109">
        <v>43376</v>
      </c>
      <c r="D42" s="110">
        <v>830054076</v>
      </c>
      <c r="E42" s="111" t="str">
        <f>VLOOKUP(D42,[1]TERCEROS!$A$2:$C$4000,3,FALSE)</f>
        <v>FIDEICOMISOS SOCIEDAD FIDUCIARIA</v>
      </c>
      <c r="F42" s="112" t="s">
        <v>59</v>
      </c>
      <c r="G42" s="113">
        <v>9700</v>
      </c>
      <c r="H42" s="179">
        <v>0</v>
      </c>
      <c r="I42" s="115">
        <f t="shared" si="0"/>
        <v>9700</v>
      </c>
    </row>
    <row r="43" spans="1:9" s="1" customFormat="1" ht="15" thickBot="1" x14ac:dyDescent="0.4">
      <c r="A43" s="82">
        <v>34</v>
      </c>
      <c r="B43" s="9" t="s">
        <v>84</v>
      </c>
      <c r="C43" s="159">
        <v>43376</v>
      </c>
      <c r="D43" s="135">
        <v>19426197</v>
      </c>
      <c r="E43" s="136" t="str">
        <f>VLOOKUP(D43,[1]TERCEROS!$A$2:$C$4000,3,FALSE)</f>
        <v>ROA ARANDA MANUEL JOSE</v>
      </c>
      <c r="F43" s="137" t="s">
        <v>48</v>
      </c>
      <c r="G43" s="138">
        <v>16000</v>
      </c>
      <c r="H43" s="181">
        <v>0</v>
      </c>
      <c r="I43" s="140">
        <f t="shared" si="0"/>
        <v>16000</v>
      </c>
    </row>
    <row r="44" spans="1:9" s="1" customFormat="1" ht="15" thickBot="1" x14ac:dyDescent="0.4">
      <c r="A44" s="82">
        <v>35</v>
      </c>
      <c r="B44" s="340" t="s">
        <v>32</v>
      </c>
      <c r="C44" s="107">
        <v>43383</v>
      </c>
      <c r="D44" s="17">
        <v>830049630</v>
      </c>
      <c r="E44" s="18" t="str">
        <f>VLOOKUP(D44,[1]TERCEROS!$A$2:$C$4000,3,FALSE)</f>
        <v>PRODUCTOS Y SUMINISTROS LTDA</v>
      </c>
      <c r="F44" s="19" t="s">
        <v>95</v>
      </c>
      <c r="G44" s="20">
        <v>8450</v>
      </c>
      <c r="H44" s="177">
        <f>+G44*19%</f>
        <v>1605.5</v>
      </c>
      <c r="I44" s="22">
        <f t="shared" si="0"/>
        <v>10055.5</v>
      </c>
    </row>
    <row r="45" spans="1:9" s="1" customFormat="1" ht="15" thickBot="1" x14ac:dyDescent="0.4">
      <c r="A45" s="82">
        <v>36</v>
      </c>
      <c r="B45" s="341"/>
      <c r="C45" s="108">
        <v>43382</v>
      </c>
      <c r="D45" s="26">
        <v>22222222</v>
      </c>
      <c r="E45" s="27" t="s">
        <v>320</v>
      </c>
      <c r="F45" s="28" t="s">
        <v>321</v>
      </c>
      <c r="G45" s="29">
        <v>120000</v>
      </c>
      <c r="H45" s="178">
        <v>0</v>
      </c>
      <c r="I45" s="31">
        <f t="shared" si="0"/>
        <v>120000</v>
      </c>
    </row>
    <row r="46" spans="1:9" s="1" customFormat="1" ht="15" thickBot="1" x14ac:dyDescent="0.4">
      <c r="A46" s="82">
        <v>37</v>
      </c>
      <c r="B46" s="346"/>
      <c r="C46" s="109">
        <v>43383</v>
      </c>
      <c r="D46" s="110">
        <v>830049630</v>
      </c>
      <c r="E46" s="111" t="str">
        <f>VLOOKUP(D46,[1]TERCEROS!$A$2:$C$4000,3,FALSE)</f>
        <v>PRODUCTOS Y SUMINISTROS LTDA</v>
      </c>
      <c r="F46" s="112" t="s">
        <v>322</v>
      </c>
      <c r="G46" s="113">
        <v>155164</v>
      </c>
      <c r="H46" s="179">
        <f>+G46*19%</f>
        <v>29481.16</v>
      </c>
      <c r="I46" s="115">
        <f t="shared" si="0"/>
        <v>184645.16</v>
      </c>
    </row>
    <row r="47" spans="1:9" s="1" customFormat="1" ht="15" thickBot="1" x14ac:dyDescent="0.4">
      <c r="A47" s="82">
        <v>38</v>
      </c>
      <c r="B47" s="340" t="s">
        <v>84</v>
      </c>
      <c r="C47" s="203">
        <v>43381</v>
      </c>
      <c r="D47" s="120">
        <v>900676165</v>
      </c>
      <c r="E47" s="121" t="str">
        <f>VLOOKUP(D47,[1]TERCEROS!$A$2:$C$4000,3,FALSE)</f>
        <v>UBER COLOMBIA SAS</v>
      </c>
      <c r="F47" s="122" t="s">
        <v>48</v>
      </c>
      <c r="G47" s="123">
        <v>11200</v>
      </c>
      <c r="H47" s="204">
        <v>0</v>
      </c>
      <c r="I47" s="125">
        <f t="shared" si="0"/>
        <v>11200</v>
      </c>
    </row>
    <row r="48" spans="1:9" s="1" customFormat="1" ht="15" thickBot="1" x14ac:dyDescent="0.4">
      <c r="A48" s="82">
        <v>39</v>
      </c>
      <c r="B48" s="341"/>
      <c r="C48" s="108">
        <v>43382</v>
      </c>
      <c r="D48" s="26">
        <v>890900608</v>
      </c>
      <c r="E48" s="27" t="str">
        <f>VLOOKUP(D48,[1]TERCEROS!$A$2:$C$4000,3,FALSE)</f>
        <v>ALMACENES EXITO SA</v>
      </c>
      <c r="F48" s="28" t="s">
        <v>63</v>
      </c>
      <c r="G48" s="29">
        <v>50900</v>
      </c>
      <c r="H48" s="178">
        <v>0</v>
      </c>
      <c r="I48" s="31">
        <f t="shared" si="0"/>
        <v>50900</v>
      </c>
    </row>
    <row r="49" spans="1:12" s="1" customFormat="1" ht="15" thickBot="1" x14ac:dyDescent="0.4">
      <c r="A49" s="82">
        <v>40</v>
      </c>
      <c r="B49" s="341"/>
      <c r="C49" s="108">
        <v>43383</v>
      </c>
      <c r="D49" s="26">
        <v>900491889</v>
      </c>
      <c r="E49" s="27" t="str">
        <f>VLOOKUP(D49,[1]TERCEROS!$A$2:$C$4000,3,FALSE)</f>
        <v>EDS TERMINAL NEIVA</v>
      </c>
      <c r="F49" s="28" t="s">
        <v>323</v>
      </c>
      <c r="G49" s="29">
        <v>85400</v>
      </c>
      <c r="I49" s="31">
        <f t="shared" si="0"/>
        <v>85400</v>
      </c>
      <c r="L49" s="210">
        <f>+G49*19%</f>
        <v>16226</v>
      </c>
    </row>
    <row r="50" spans="1:12" s="1" customFormat="1" ht="15" thickBot="1" x14ac:dyDescent="0.4">
      <c r="A50" s="82">
        <v>41</v>
      </c>
      <c r="B50" s="209"/>
      <c r="C50" s="132">
        <v>43382</v>
      </c>
      <c r="D50" s="91">
        <v>900491889</v>
      </c>
      <c r="E50" s="92" t="str">
        <f>VLOOKUP(D50,[1]TERCEROS!$A$2:$C$4000,3,FALSE)</f>
        <v>EDS TERMINAL NEIVA</v>
      </c>
      <c r="F50" s="86" t="s">
        <v>323</v>
      </c>
      <c r="G50" s="87">
        <v>4000</v>
      </c>
      <c r="H50" s="180">
        <v>0</v>
      </c>
      <c r="I50" s="89">
        <f t="shared" si="0"/>
        <v>4000</v>
      </c>
    </row>
    <row r="51" spans="1:12" s="1" customFormat="1" ht="15" thickBot="1" x14ac:dyDescent="0.4">
      <c r="A51" s="82">
        <v>42</v>
      </c>
      <c r="B51" s="347" t="s">
        <v>32</v>
      </c>
      <c r="C51" s="107">
        <v>43382</v>
      </c>
      <c r="D51" s="17">
        <v>1031138543</v>
      </c>
      <c r="E51" s="18" t="str">
        <f>VLOOKUP(D51,[1]TERCEROS!$A$2:$C$4000,3,FALSE)</f>
        <v>OSCAR EDUARDO VALENCIA</v>
      </c>
      <c r="F51" s="19" t="s">
        <v>222</v>
      </c>
      <c r="G51" s="20">
        <v>100000</v>
      </c>
      <c r="H51" s="177">
        <v>0</v>
      </c>
      <c r="I51" s="22">
        <f t="shared" si="0"/>
        <v>100000</v>
      </c>
    </row>
    <row r="52" spans="1:12" s="1" customFormat="1" ht="15" thickBot="1" x14ac:dyDescent="0.4">
      <c r="A52" s="82">
        <v>43</v>
      </c>
      <c r="B52" s="326"/>
      <c r="C52" s="109">
        <v>43382</v>
      </c>
      <c r="D52" s="110">
        <v>900491889</v>
      </c>
      <c r="E52" s="111" t="str">
        <f>VLOOKUP(D52,[1]TERCEROS!$A$2:$C$4000,3,FALSE)</f>
        <v>EDS TERMINAL NEIVA</v>
      </c>
      <c r="F52" s="112" t="s">
        <v>324</v>
      </c>
      <c r="G52" s="113">
        <v>37600</v>
      </c>
      <c r="H52" s="179">
        <v>0</v>
      </c>
      <c r="I52" s="115">
        <f t="shared" si="0"/>
        <v>37600</v>
      </c>
    </row>
    <row r="53" spans="1:12" s="1" customFormat="1" ht="15" thickBot="1" x14ac:dyDescent="0.4">
      <c r="A53" s="82">
        <v>44</v>
      </c>
      <c r="B53" s="9" t="s">
        <v>325</v>
      </c>
      <c r="C53" s="152">
        <v>43383</v>
      </c>
      <c r="D53" s="153">
        <v>11442335</v>
      </c>
      <c r="E53" s="154" t="s">
        <v>326</v>
      </c>
      <c r="F53" s="155" t="s">
        <v>230</v>
      </c>
      <c r="G53" s="156">
        <v>72000</v>
      </c>
      <c r="H53" s="211">
        <v>0</v>
      </c>
      <c r="I53" s="158">
        <f t="shared" si="0"/>
        <v>72000</v>
      </c>
    </row>
    <row r="54" spans="1:12" s="1" customFormat="1" ht="15" thickBot="1" x14ac:dyDescent="0.4">
      <c r="A54" s="82">
        <v>45</v>
      </c>
      <c r="B54" s="340" t="s">
        <v>32</v>
      </c>
      <c r="C54" s="203">
        <v>43382</v>
      </c>
      <c r="D54" s="120">
        <v>832005813</v>
      </c>
      <c r="E54" s="121" t="str">
        <f>VLOOKUP(D54,[1]TERCEROS!$A$2:$C$4000,3,FALSE)</f>
        <v>EMPRESA DE ACUEDUCTO COMUNAL DE LA PUNTA</v>
      </c>
      <c r="F54" s="122" t="s">
        <v>327</v>
      </c>
      <c r="G54" s="123">
        <v>109515</v>
      </c>
      <c r="H54" s="204">
        <v>0</v>
      </c>
      <c r="I54" s="125">
        <f t="shared" si="0"/>
        <v>109515</v>
      </c>
    </row>
    <row r="55" spans="1:12" s="1" customFormat="1" ht="15" thickBot="1" x14ac:dyDescent="0.4">
      <c r="A55" s="82">
        <v>46</v>
      </c>
      <c r="B55" s="341"/>
      <c r="C55" s="108">
        <v>43381</v>
      </c>
      <c r="D55" s="26">
        <v>900842865</v>
      </c>
      <c r="E55" s="27" t="s">
        <v>328</v>
      </c>
      <c r="F55" s="28" t="s">
        <v>329</v>
      </c>
      <c r="G55" s="29">
        <v>184736</v>
      </c>
      <c r="H55" s="178">
        <f>+G55*19%</f>
        <v>35099.840000000004</v>
      </c>
      <c r="I55" s="31">
        <f t="shared" si="0"/>
        <v>219835.84</v>
      </c>
    </row>
    <row r="56" spans="1:12" s="1" customFormat="1" ht="15" thickBot="1" x14ac:dyDescent="0.4">
      <c r="A56" s="82">
        <v>47</v>
      </c>
      <c r="B56" s="341"/>
      <c r="C56" s="132">
        <v>43381</v>
      </c>
      <c r="D56" s="91">
        <v>900342297</v>
      </c>
      <c r="E56" s="92" t="str">
        <f>VLOOKUP(D56,[1]TERCEROS!$A$2:$C$4000,3,FALSE)</f>
        <v>COMERCIALIZADORA ARTURO CALLE SAS</v>
      </c>
      <c r="F56" s="86" t="s">
        <v>329</v>
      </c>
      <c r="G56" s="87">
        <v>166134</v>
      </c>
      <c r="H56" s="180">
        <v>31566</v>
      </c>
      <c r="I56" s="89">
        <f t="shared" si="0"/>
        <v>197700</v>
      </c>
    </row>
    <row r="57" spans="1:12" s="1" customFormat="1" ht="15" thickBot="1" x14ac:dyDescent="0.4">
      <c r="A57" s="82">
        <v>48</v>
      </c>
      <c r="B57" s="9" t="s">
        <v>84</v>
      </c>
      <c r="C57" s="95">
        <v>43383</v>
      </c>
      <c r="D57" s="96">
        <v>900491889</v>
      </c>
      <c r="E57" s="97" t="str">
        <f>VLOOKUP(D57,[1]TERCEROS!$A$2:$C$4000,3,FALSE)</f>
        <v>EDS TERMINAL NEIVA</v>
      </c>
      <c r="F57" s="98" t="s">
        <v>330</v>
      </c>
      <c r="G57" s="99">
        <v>82800</v>
      </c>
      <c r="H57" s="201">
        <v>0</v>
      </c>
      <c r="I57" s="101">
        <f t="shared" si="0"/>
        <v>82800</v>
      </c>
    </row>
    <row r="58" spans="1:12" s="1" customFormat="1" ht="15" thickBot="1" x14ac:dyDescent="0.4">
      <c r="A58" s="82">
        <v>49</v>
      </c>
      <c r="B58" s="340" t="s">
        <v>32</v>
      </c>
      <c r="C58" s="203">
        <v>43383</v>
      </c>
      <c r="D58" s="120">
        <v>900754508</v>
      </c>
      <c r="E58" s="121" t="s">
        <v>40</v>
      </c>
      <c r="F58" s="122" t="s">
        <v>333</v>
      </c>
      <c r="G58" s="123">
        <v>190000</v>
      </c>
      <c r="H58" s="204">
        <v>0</v>
      </c>
      <c r="I58" s="125">
        <f t="shared" si="0"/>
        <v>190000</v>
      </c>
    </row>
    <row r="59" spans="1:12" s="1" customFormat="1" ht="15" thickBot="1" x14ac:dyDescent="0.4">
      <c r="A59" s="82">
        <v>50</v>
      </c>
      <c r="B59" s="341"/>
      <c r="C59" s="108">
        <v>43383</v>
      </c>
      <c r="D59" s="26">
        <v>900491889</v>
      </c>
      <c r="E59" s="27" t="s">
        <v>332</v>
      </c>
      <c r="F59" s="28" t="s">
        <v>331</v>
      </c>
      <c r="G59" s="29">
        <v>15000</v>
      </c>
      <c r="H59" s="178">
        <v>0</v>
      </c>
      <c r="I59" s="31">
        <f t="shared" si="0"/>
        <v>15000</v>
      </c>
    </row>
    <row r="60" spans="1:12" s="1" customFormat="1" ht="15" thickBot="1" x14ac:dyDescent="0.4">
      <c r="A60" s="82">
        <v>51</v>
      </c>
      <c r="B60" s="341"/>
      <c r="C60" s="108">
        <v>43379</v>
      </c>
      <c r="D60" s="26">
        <v>830047537</v>
      </c>
      <c r="E60" s="27" t="str">
        <f>VLOOKUP(D60,[1]TERCEROS!$A$2:$C$4000,3,FALSE)</f>
        <v>LAO KAO SA</v>
      </c>
      <c r="F60" s="28" t="s">
        <v>334</v>
      </c>
      <c r="G60" s="29">
        <v>104100</v>
      </c>
      <c r="H60" s="178">
        <v>0</v>
      </c>
      <c r="I60" s="31">
        <f t="shared" si="0"/>
        <v>104100</v>
      </c>
    </row>
    <row r="61" spans="1:12" s="1" customFormat="1" ht="15" thickBot="1" x14ac:dyDescent="0.4">
      <c r="A61" s="82">
        <v>52</v>
      </c>
      <c r="B61" s="341"/>
      <c r="C61" s="108">
        <v>43385</v>
      </c>
      <c r="D61" s="26">
        <v>222222222</v>
      </c>
      <c r="E61" s="27" t="str">
        <f>VLOOKUP(D61,[1]TERCEROS!$A$2:$C$4000,3,FALSE)</f>
        <v>CUANTIAS MINIMAS</v>
      </c>
      <c r="F61" s="28" t="s">
        <v>48</v>
      </c>
      <c r="G61" s="29">
        <v>20000</v>
      </c>
      <c r="H61" s="178">
        <v>0</v>
      </c>
      <c r="I61" s="31">
        <f t="shared" si="0"/>
        <v>20000</v>
      </c>
    </row>
    <row r="62" spans="1:12" s="1" customFormat="1" ht="15" thickBot="1" x14ac:dyDescent="0.4">
      <c r="A62" s="82">
        <v>53</v>
      </c>
      <c r="B62" s="341"/>
      <c r="C62" s="108">
        <v>43380</v>
      </c>
      <c r="D62" s="26">
        <v>900491889</v>
      </c>
      <c r="E62" s="27" t="str">
        <f>VLOOKUP(D62,[1]TERCEROS!$A$2:$C$4000,3,FALSE)</f>
        <v>EDS TERMINAL NEIVA</v>
      </c>
      <c r="F62" s="28" t="s">
        <v>48</v>
      </c>
      <c r="G62" s="29">
        <v>30600</v>
      </c>
      <c r="H62" s="178">
        <v>0</v>
      </c>
      <c r="I62" s="31">
        <f t="shared" si="0"/>
        <v>30600</v>
      </c>
    </row>
    <row r="63" spans="1:12" s="1" customFormat="1" ht="15" thickBot="1" x14ac:dyDescent="0.4">
      <c r="A63" s="82">
        <v>54</v>
      </c>
      <c r="B63" s="341"/>
      <c r="C63" s="108">
        <v>43380</v>
      </c>
      <c r="D63" s="26">
        <v>830081427</v>
      </c>
      <c r="E63" s="27" t="s">
        <v>335</v>
      </c>
      <c r="F63" s="28" t="s">
        <v>334</v>
      </c>
      <c r="G63" s="29">
        <v>71800</v>
      </c>
      <c r="H63" s="178">
        <v>0</v>
      </c>
      <c r="I63" s="31">
        <f>IF($K$14=1,G63+H63,G63*H63)</f>
        <v>71800</v>
      </c>
    </row>
    <row r="64" spans="1:12" s="1" customFormat="1" ht="15" thickBot="1" x14ac:dyDescent="0.4">
      <c r="A64" s="82">
        <v>55</v>
      </c>
      <c r="B64" s="341"/>
      <c r="C64" s="108">
        <v>43383</v>
      </c>
      <c r="D64" s="26">
        <v>830054076</v>
      </c>
      <c r="E64" s="27" t="str">
        <f>VLOOKUP(D64,[1]TERCEROS!$A$2:$C$4000,3,FALSE)</f>
        <v>FIDEICOMISOS SOCIEDAD FIDUCIARIA</v>
      </c>
      <c r="F64" s="28" t="s">
        <v>59</v>
      </c>
      <c r="G64" s="29">
        <v>19400</v>
      </c>
      <c r="H64" s="178">
        <v>0</v>
      </c>
      <c r="I64" s="31">
        <f t="shared" si="0"/>
        <v>19400</v>
      </c>
    </row>
    <row r="65" spans="1:9" s="1" customFormat="1" ht="15" thickBot="1" x14ac:dyDescent="0.4">
      <c r="A65" s="82">
        <v>56</v>
      </c>
      <c r="B65" s="341"/>
      <c r="C65" s="132">
        <v>43385</v>
      </c>
      <c r="D65" s="91">
        <v>830114594</v>
      </c>
      <c r="E65" s="92" t="s">
        <v>336</v>
      </c>
      <c r="F65" s="86" t="s">
        <v>337</v>
      </c>
      <c r="G65" s="87">
        <v>105042</v>
      </c>
      <c r="H65" s="180">
        <f>+G65*19%</f>
        <v>19957.98</v>
      </c>
      <c r="I65" s="89">
        <f t="shared" si="0"/>
        <v>124999.98</v>
      </c>
    </row>
    <row r="66" spans="1:9" s="1" customFormat="1" ht="15" thickBot="1" x14ac:dyDescent="0.4">
      <c r="A66" s="82">
        <v>57</v>
      </c>
      <c r="B66" s="9" t="s">
        <v>245</v>
      </c>
      <c r="C66" s="95">
        <v>43383</v>
      </c>
      <c r="D66" s="96">
        <v>72151045</v>
      </c>
      <c r="E66" s="97" t="str">
        <f>VLOOKUP(D66,[1]TERCEROS!$A$2:$C$4000,3,FALSE)</f>
        <v>EDINSON ROMERO</v>
      </c>
      <c r="F66" s="98" t="s">
        <v>338</v>
      </c>
      <c r="G66" s="99">
        <v>44420</v>
      </c>
      <c r="H66" s="201">
        <v>0</v>
      </c>
      <c r="I66" s="101">
        <f t="shared" si="0"/>
        <v>44420</v>
      </c>
    </row>
    <row r="67" spans="1:9" s="1" customFormat="1" ht="15" thickBot="1" x14ac:dyDescent="0.4">
      <c r="A67" s="82">
        <v>58</v>
      </c>
      <c r="B67" s="340" t="s">
        <v>32</v>
      </c>
      <c r="C67" s="216">
        <v>43384</v>
      </c>
      <c r="D67" s="213">
        <v>830054076</v>
      </c>
      <c r="E67" s="18" t="str">
        <f>VLOOKUP(D67,[1]TERCEROS!$A$2:$C$4000,3,FALSE)</f>
        <v>FIDEICOMISOS SOCIEDAD FIDUCIARIA</v>
      </c>
      <c r="F67" s="19" t="s">
        <v>59</v>
      </c>
      <c r="G67" s="20">
        <v>11600</v>
      </c>
      <c r="H67" s="177"/>
      <c r="I67" s="22">
        <f t="shared" si="0"/>
        <v>11600</v>
      </c>
    </row>
    <row r="68" spans="1:9" s="1" customFormat="1" ht="15" thickBot="1" x14ac:dyDescent="0.4">
      <c r="A68" s="82">
        <v>59</v>
      </c>
      <c r="B68" s="341"/>
      <c r="C68" s="217">
        <v>43385</v>
      </c>
      <c r="D68" s="214">
        <v>830054076</v>
      </c>
      <c r="E68" s="27" t="str">
        <f>VLOOKUP(D68,[1]TERCEROS!$A$2:$C$4000,3,FALSE)</f>
        <v>FIDEICOMISOS SOCIEDAD FIDUCIARIA</v>
      </c>
      <c r="F68" s="28" t="s">
        <v>59</v>
      </c>
      <c r="G68" s="29">
        <v>9700</v>
      </c>
      <c r="H68" s="178"/>
      <c r="I68" s="31">
        <f t="shared" si="0"/>
        <v>9700</v>
      </c>
    </row>
    <row r="69" spans="1:9" s="1" customFormat="1" ht="15" thickBot="1" x14ac:dyDescent="0.4">
      <c r="A69" s="82">
        <v>60</v>
      </c>
      <c r="B69" s="341"/>
      <c r="C69" s="217">
        <v>43383</v>
      </c>
      <c r="D69" s="214">
        <v>830054076</v>
      </c>
      <c r="E69" s="27" t="str">
        <f>VLOOKUP(D69,[1]TERCEROS!$A$2:$C$4000,3,FALSE)</f>
        <v>FIDEICOMISOS SOCIEDAD FIDUCIARIA</v>
      </c>
      <c r="F69" s="28" t="s">
        <v>59</v>
      </c>
      <c r="G69" s="29">
        <v>9700</v>
      </c>
      <c r="H69" s="178"/>
      <c r="I69" s="31">
        <f t="shared" si="0"/>
        <v>9700</v>
      </c>
    </row>
    <row r="70" spans="1:9" s="1" customFormat="1" ht="15" thickBot="1" x14ac:dyDescent="0.4">
      <c r="A70" s="82">
        <v>61</v>
      </c>
      <c r="B70" s="341"/>
      <c r="C70" s="217">
        <v>43384</v>
      </c>
      <c r="D70" s="214">
        <v>830054076</v>
      </c>
      <c r="E70" s="27" t="str">
        <f>VLOOKUP(D70,[1]TERCEROS!$A$2:$C$4000,3,FALSE)</f>
        <v>FIDEICOMISOS SOCIEDAD FIDUCIARIA</v>
      </c>
      <c r="F70" s="28" t="s">
        <v>59</v>
      </c>
      <c r="G70" s="29">
        <v>11600</v>
      </c>
      <c r="H70" s="178"/>
      <c r="I70" s="31">
        <f t="shared" si="0"/>
        <v>11600</v>
      </c>
    </row>
    <row r="71" spans="1:9" s="1" customFormat="1" ht="15" thickBot="1" x14ac:dyDescent="0.4">
      <c r="A71" s="82">
        <v>62</v>
      </c>
      <c r="B71" s="341"/>
      <c r="C71" s="217">
        <v>43385</v>
      </c>
      <c r="D71" s="214">
        <v>830054076</v>
      </c>
      <c r="E71" s="27" t="str">
        <f>VLOOKUP(D71,[1]TERCEROS!$A$2:$C$4000,3,FALSE)</f>
        <v>FIDEICOMISOS SOCIEDAD FIDUCIARIA</v>
      </c>
      <c r="F71" s="28" t="s">
        <v>59</v>
      </c>
      <c r="G71" s="29">
        <v>9700</v>
      </c>
      <c r="H71" s="178"/>
      <c r="I71" s="31">
        <f t="shared" si="0"/>
        <v>9700</v>
      </c>
    </row>
    <row r="72" spans="1:9" s="1" customFormat="1" ht="18.75" customHeight="1" thickBot="1" x14ac:dyDescent="0.4">
      <c r="A72" s="82">
        <v>63</v>
      </c>
      <c r="B72" s="341"/>
      <c r="C72" s="217">
        <v>43385</v>
      </c>
      <c r="D72" s="214">
        <v>830054076</v>
      </c>
      <c r="E72" s="27" t="str">
        <f>VLOOKUP(D72,[1]TERCEROS!$A$2:$C$4000,3,FALSE)</f>
        <v>FIDEICOMISOS SOCIEDAD FIDUCIARIA</v>
      </c>
      <c r="F72" s="28" t="s">
        <v>59</v>
      </c>
      <c r="G72" s="29">
        <v>9700</v>
      </c>
      <c r="H72" s="178">
        <v>0</v>
      </c>
      <c r="I72" s="31">
        <f t="shared" si="0"/>
        <v>9700</v>
      </c>
    </row>
    <row r="73" spans="1:9" s="1" customFormat="1" ht="18.75" customHeight="1" thickBot="1" x14ac:dyDescent="0.4">
      <c r="A73" s="82">
        <v>64</v>
      </c>
      <c r="B73" s="341"/>
      <c r="C73" s="217">
        <v>43384</v>
      </c>
      <c r="D73" s="214">
        <v>830054076</v>
      </c>
      <c r="E73" s="27" t="str">
        <f>VLOOKUP(D73,[1]TERCEROS!$A$2:$C$4000,3,FALSE)</f>
        <v>FIDEICOMISOS SOCIEDAD FIDUCIARIA</v>
      </c>
      <c r="F73" s="28" t="s">
        <v>59</v>
      </c>
      <c r="G73" s="29">
        <v>9700</v>
      </c>
      <c r="H73" s="178"/>
      <c r="I73" s="31">
        <f t="shared" si="0"/>
        <v>9700</v>
      </c>
    </row>
    <row r="74" spans="1:9" s="1" customFormat="1" ht="18.75" customHeight="1" thickBot="1" x14ac:dyDescent="0.4">
      <c r="A74" s="82">
        <v>65</v>
      </c>
      <c r="B74" s="341"/>
      <c r="C74" s="217">
        <v>43385</v>
      </c>
      <c r="D74" s="214">
        <v>900783202</v>
      </c>
      <c r="E74" s="27" t="s">
        <v>339</v>
      </c>
      <c r="F74" s="28" t="s">
        <v>34</v>
      </c>
      <c r="G74" s="29">
        <v>20000</v>
      </c>
      <c r="H74" s="178"/>
      <c r="I74" s="31">
        <f t="shared" si="0"/>
        <v>20000</v>
      </c>
    </row>
    <row r="75" spans="1:9" s="1" customFormat="1" ht="18.75" customHeight="1" thickBot="1" x14ac:dyDescent="0.4">
      <c r="A75" s="82">
        <v>66</v>
      </c>
      <c r="B75" s="341"/>
      <c r="C75" s="217">
        <v>43383</v>
      </c>
      <c r="D75" s="214">
        <v>900491889</v>
      </c>
      <c r="E75" s="27" t="str">
        <f>VLOOKUP(D75,[1]TERCEROS!$A$2:$C$4000,3,FALSE)</f>
        <v>EDS TERMINAL NEIVA</v>
      </c>
      <c r="F75" s="28" t="s">
        <v>34</v>
      </c>
      <c r="G75" s="29">
        <v>20000</v>
      </c>
      <c r="H75" s="178"/>
      <c r="I75" s="31">
        <f t="shared" si="0"/>
        <v>20000</v>
      </c>
    </row>
    <row r="76" spans="1:9" s="1" customFormat="1" ht="18.75" customHeight="1" thickBot="1" x14ac:dyDescent="0.4">
      <c r="A76" s="82">
        <v>67</v>
      </c>
      <c r="B76" s="341"/>
      <c r="C76" s="217">
        <v>43384</v>
      </c>
      <c r="D76" s="214">
        <v>222222222</v>
      </c>
      <c r="E76" s="27" t="str">
        <f>VLOOKUP(D76,[1]TERCEROS!$A$2:$C$4000,3,FALSE)</f>
        <v>CUANTIAS MINIMAS</v>
      </c>
      <c r="F76" s="28" t="s">
        <v>48</v>
      </c>
      <c r="G76" s="29">
        <v>50000</v>
      </c>
      <c r="H76" s="178"/>
      <c r="I76" s="31">
        <f t="shared" si="0"/>
        <v>50000</v>
      </c>
    </row>
    <row r="77" spans="1:9" s="1" customFormat="1" ht="18.75" customHeight="1" thickBot="1" x14ac:dyDescent="0.4">
      <c r="A77" s="82">
        <v>68</v>
      </c>
      <c r="B77" s="341"/>
      <c r="C77" s="217">
        <v>43382</v>
      </c>
      <c r="D77" s="214">
        <v>1032395430</v>
      </c>
      <c r="E77" s="27" t="str">
        <f>VLOOKUP(D77,[1]TERCEROS!$A$2:$C$4000,3,FALSE)</f>
        <v xml:space="preserve">OMAR VILLAMIL </v>
      </c>
      <c r="F77" s="28" t="s">
        <v>340</v>
      </c>
      <c r="G77" s="29">
        <v>200000</v>
      </c>
      <c r="H77" s="178"/>
      <c r="I77" s="31">
        <f t="shared" si="0"/>
        <v>200000</v>
      </c>
    </row>
    <row r="78" spans="1:9" s="1" customFormat="1" ht="18.75" customHeight="1" thickBot="1" x14ac:dyDescent="0.4">
      <c r="A78" s="82">
        <v>69</v>
      </c>
      <c r="B78" s="341"/>
      <c r="C78" s="217">
        <v>43383</v>
      </c>
      <c r="D78" s="214">
        <v>222222222</v>
      </c>
      <c r="E78" s="27" t="str">
        <f>VLOOKUP(D78,[1]TERCEROS!$A$2:$C$4000,3,FALSE)</f>
        <v>CUANTIAS MINIMAS</v>
      </c>
      <c r="F78" s="28" t="s">
        <v>341</v>
      </c>
      <c r="G78" s="29">
        <v>23000</v>
      </c>
      <c r="H78" s="178"/>
      <c r="I78" s="31">
        <f t="shared" si="0"/>
        <v>23000</v>
      </c>
    </row>
    <row r="79" spans="1:9" s="1" customFormat="1" ht="18.75" customHeight="1" thickBot="1" x14ac:dyDescent="0.4">
      <c r="A79" s="82">
        <v>70</v>
      </c>
      <c r="B79" s="341"/>
      <c r="C79" s="217">
        <v>43385</v>
      </c>
      <c r="D79" s="214">
        <v>830037946</v>
      </c>
      <c r="E79" s="27" t="str">
        <f>VLOOKUP(D79,[1]TERCEROS!$A$2:$C$4000,3,FALSE)</f>
        <v>PANAMERICANA SA</v>
      </c>
      <c r="F79" s="28" t="s">
        <v>342</v>
      </c>
      <c r="G79" s="29">
        <v>30252</v>
      </c>
      <c r="H79" s="178">
        <f>+G79*19%</f>
        <v>5747.88</v>
      </c>
      <c r="I79" s="31">
        <f t="shared" si="0"/>
        <v>35999.879999999997</v>
      </c>
    </row>
    <row r="80" spans="1:9" s="1" customFormat="1" ht="18.75" customHeight="1" thickBot="1" x14ac:dyDescent="0.4">
      <c r="A80" s="82">
        <v>71</v>
      </c>
      <c r="B80" s="341"/>
      <c r="C80" s="217">
        <v>43383</v>
      </c>
      <c r="D80" s="214">
        <v>860045752</v>
      </c>
      <c r="E80" s="27" t="str">
        <f>VLOOKUP(D80,[1]TERCEROS!$A$2:$C$4000,3,FALSE)</f>
        <v>AUROS COPIAS SA</v>
      </c>
      <c r="F80" s="28" t="s">
        <v>343</v>
      </c>
      <c r="G80" s="29">
        <v>84034</v>
      </c>
      <c r="H80" s="178">
        <f>+G80*19%</f>
        <v>15966.460000000001</v>
      </c>
      <c r="I80" s="31">
        <f t="shared" si="0"/>
        <v>100000.46</v>
      </c>
    </row>
    <row r="81" spans="1:37" s="1" customFormat="1" ht="18.75" customHeight="1" thickBot="1" x14ac:dyDescent="0.4">
      <c r="A81" s="82">
        <v>72</v>
      </c>
      <c r="B81" s="341"/>
      <c r="C81" s="217">
        <v>43384</v>
      </c>
      <c r="D81" s="214">
        <v>860525814</v>
      </c>
      <c r="E81" s="27" t="s">
        <v>344</v>
      </c>
      <c r="F81" s="28" t="s">
        <v>345</v>
      </c>
      <c r="G81" s="29">
        <v>29846</v>
      </c>
      <c r="H81" s="178">
        <f>+G81*19%</f>
        <v>5670.74</v>
      </c>
      <c r="I81" s="31">
        <f t="shared" si="0"/>
        <v>35516.74</v>
      </c>
    </row>
    <row r="82" spans="1:37" s="1" customFormat="1" ht="18.75" customHeight="1" thickBot="1" x14ac:dyDescent="0.4">
      <c r="A82" s="82">
        <v>73</v>
      </c>
      <c r="B82" s="341"/>
      <c r="C82" s="217">
        <v>43372</v>
      </c>
      <c r="D82" s="214">
        <v>1072655064</v>
      </c>
      <c r="E82" s="27" t="s">
        <v>346</v>
      </c>
      <c r="F82" s="28" t="s">
        <v>70</v>
      </c>
      <c r="G82" s="29">
        <v>27000</v>
      </c>
      <c r="H82" s="178"/>
      <c r="I82" s="31">
        <f t="shared" si="0"/>
        <v>27000</v>
      </c>
    </row>
    <row r="83" spans="1:37" s="1" customFormat="1" ht="18.75" customHeight="1" thickBot="1" x14ac:dyDescent="0.4">
      <c r="A83" s="82">
        <v>74</v>
      </c>
      <c r="B83" s="341"/>
      <c r="C83" s="217">
        <v>43377</v>
      </c>
      <c r="D83" s="214">
        <v>800242106</v>
      </c>
      <c r="E83" s="27" t="str">
        <f>VLOOKUP(D83,[1]TERCEROS!$A$2:$C$4000,3,FALSE)</f>
        <v>HOMCENTER SODIMAC CORONA S.A.</v>
      </c>
      <c r="F83" s="28" t="s">
        <v>104</v>
      </c>
      <c r="G83" s="29">
        <v>38487</v>
      </c>
      <c r="H83" s="178">
        <f>+G83*19%</f>
        <v>7312.53</v>
      </c>
      <c r="I83" s="31">
        <f t="shared" si="0"/>
        <v>45799.53</v>
      </c>
    </row>
    <row r="84" spans="1:37" s="1" customFormat="1" ht="18.75" customHeight="1" thickBot="1" x14ac:dyDescent="0.4">
      <c r="A84" s="82">
        <v>75</v>
      </c>
      <c r="B84" s="346"/>
      <c r="C84" s="218">
        <v>43377</v>
      </c>
      <c r="D84" s="215">
        <v>1039090799</v>
      </c>
      <c r="E84" s="27" t="str">
        <f>VLOOKUP(D84,[1]TERCEROS!$A$2:$C$4000,3,FALSE)</f>
        <v>NISPERUZA ARRIETA YAISLLETH JUDITH</v>
      </c>
      <c r="F84" s="112" t="s">
        <v>48</v>
      </c>
      <c r="G84" s="113">
        <v>12900</v>
      </c>
      <c r="H84" s="179"/>
      <c r="I84" s="115">
        <f t="shared" si="0"/>
        <v>12900</v>
      </c>
    </row>
    <row r="85" spans="1:37" s="1" customFormat="1" ht="18.75" customHeight="1" thickBot="1" x14ac:dyDescent="0.4">
      <c r="A85" s="200"/>
      <c r="B85" s="9"/>
      <c r="C85" s="183"/>
      <c r="D85" s="184"/>
      <c r="E85" s="185"/>
      <c r="F85" s="186"/>
      <c r="G85" s="187"/>
      <c r="H85" s="188"/>
      <c r="I85" s="189"/>
    </row>
    <row r="86" spans="1:37" s="2" customFormat="1" ht="15.75" customHeight="1" thickBot="1" x14ac:dyDescent="0.4">
      <c r="A86" s="335" t="s">
        <v>310</v>
      </c>
      <c r="B86" s="329"/>
      <c r="C86" s="329"/>
      <c r="D86" s="329"/>
      <c r="E86" s="330"/>
      <c r="F86" s="93" t="s">
        <v>24</v>
      </c>
      <c r="G86" s="94">
        <f>SUM(G10:G84)</f>
        <v>2841755</v>
      </c>
      <c r="H86" s="94"/>
      <c r="I86" s="94">
        <f>SUM(I10:I84)</f>
        <v>2994163.09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s="2" customFormat="1" ht="15" customHeight="1" x14ac:dyDescent="0.35">
      <c r="A87" s="300" t="s">
        <v>26</v>
      </c>
      <c r="B87" s="301"/>
      <c r="C87" s="301"/>
      <c r="D87" s="306" t="s">
        <v>58</v>
      </c>
      <c r="E87" s="307"/>
      <c r="F87" s="312"/>
      <c r="G87" s="315" t="s">
        <v>16</v>
      </c>
      <c r="H87" s="316"/>
      <c r="I87" s="35">
        <v>3000000</v>
      </c>
      <c r="J87" s="1"/>
      <c r="K87" s="1"/>
      <c r="L87" s="1"/>
      <c r="M87" s="2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s="2" customFormat="1" ht="15" customHeight="1" x14ac:dyDescent="0.35">
      <c r="A88" s="302"/>
      <c r="B88" s="303"/>
      <c r="C88" s="303"/>
      <c r="D88" s="308"/>
      <c r="E88" s="309"/>
      <c r="F88" s="313"/>
      <c r="G88" s="317" t="s">
        <v>17</v>
      </c>
      <c r="H88" s="318"/>
      <c r="I88" s="36">
        <f>+I87-I86</f>
        <v>5836.910000000149</v>
      </c>
      <c r="J88" s="1"/>
      <c r="K88" s="1"/>
      <c r="L88" s="1"/>
      <c r="M88" s="2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1" customFormat="1" ht="15.75" customHeight="1" thickBot="1" x14ac:dyDescent="0.4">
      <c r="A89" s="304"/>
      <c r="B89" s="305"/>
      <c r="C89" s="305"/>
      <c r="D89" s="310"/>
      <c r="E89" s="311"/>
      <c r="F89" s="314"/>
      <c r="G89" s="289" t="s">
        <v>5</v>
      </c>
      <c r="H89" s="290"/>
      <c r="I89" s="37">
        <f>+I87-I88</f>
        <v>2994163.09</v>
      </c>
    </row>
    <row r="90" spans="1:37" s="1" customFormat="1" ht="15" thickBot="1" x14ac:dyDescent="0.4">
      <c r="A90" s="291" t="s">
        <v>25</v>
      </c>
      <c r="B90" s="292"/>
      <c r="C90" s="292"/>
      <c r="D90" s="293"/>
      <c r="E90" s="38"/>
      <c r="F90" s="38"/>
      <c r="G90" s="38"/>
      <c r="H90" s="38"/>
      <c r="I90" s="39"/>
    </row>
    <row r="91" spans="1:37" s="1" customFormat="1" ht="15" thickBot="1" x14ac:dyDescent="0.4">
      <c r="A91" s="40"/>
      <c r="B91" s="41" t="s">
        <v>6</v>
      </c>
      <c r="C91" s="42">
        <f>D106</f>
        <v>5800</v>
      </c>
      <c r="D91" s="39"/>
      <c r="E91" s="43">
        <f>C91+C93+I86</f>
        <v>2999963.09</v>
      </c>
      <c r="F91" s="43"/>
      <c r="G91" s="38"/>
      <c r="H91" s="38"/>
      <c r="I91" s="44"/>
    </row>
    <row r="92" spans="1:37" s="1" customFormat="1" ht="15" thickBot="1" x14ac:dyDescent="0.4">
      <c r="A92" s="40"/>
      <c r="B92" s="41"/>
      <c r="C92" s="45"/>
      <c r="D92" s="39"/>
      <c r="E92" s="43">
        <f>+E91-I87</f>
        <v>-36.910000000149012</v>
      </c>
      <c r="F92" s="38"/>
      <c r="G92" s="38"/>
      <c r="H92" s="38"/>
      <c r="I92" s="39"/>
    </row>
    <row r="93" spans="1:37" s="1" customFormat="1" ht="15" thickBot="1" x14ac:dyDescent="0.4">
      <c r="A93" s="40"/>
      <c r="B93" s="47" t="s">
        <v>7</v>
      </c>
      <c r="C93" s="45">
        <f>SUM(C92:C92)</f>
        <v>0</v>
      </c>
      <c r="D93" s="39"/>
      <c r="E93" s="48"/>
      <c r="F93" s="48"/>
      <c r="G93" s="48"/>
      <c r="H93" s="48"/>
      <c r="I93" s="49"/>
    </row>
    <row r="94" spans="1:37" s="1" customFormat="1" ht="15" thickBot="1" x14ac:dyDescent="0.4">
      <c r="A94" s="40"/>
      <c r="B94" s="50"/>
      <c r="C94" s="51"/>
      <c r="D94" s="39"/>
      <c r="E94" s="48"/>
      <c r="F94" s="48"/>
      <c r="G94" s="48"/>
      <c r="H94" s="48"/>
      <c r="I94" s="49"/>
    </row>
    <row r="95" spans="1:37" s="1" customFormat="1" ht="15" thickBot="1" x14ac:dyDescent="0.4">
      <c r="A95" s="40"/>
      <c r="B95" s="52"/>
      <c r="C95" s="53" t="s">
        <v>11</v>
      </c>
      <c r="D95" s="54" t="s">
        <v>4</v>
      </c>
      <c r="E95" s="38"/>
      <c r="F95" s="55"/>
      <c r="G95" s="38"/>
      <c r="H95" s="38"/>
      <c r="I95" s="39"/>
    </row>
    <row r="96" spans="1:37" s="1" customFormat="1" ht="14.5" x14ac:dyDescent="0.35">
      <c r="A96" s="40"/>
      <c r="B96" s="56"/>
      <c r="C96" s="57">
        <v>50000</v>
      </c>
      <c r="D96" s="58">
        <f t="shared" ref="D96:D105" si="1">+C96*B96</f>
        <v>0</v>
      </c>
      <c r="E96" s="198" t="s">
        <v>29</v>
      </c>
      <c r="F96" s="60" t="s">
        <v>27</v>
      </c>
      <c r="G96" s="294" t="s">
        <v>28</v>
      </c>
      <c r="H96" s="294"/>
      <c r="I96" s="295"/>
    </row>
    <row r="97" spans="1:37" s="5" customFormat="1" ht="15" customHeight="1" x14ac:dyDescent="0.35">
      <c r="A97" s="40"/>
      <c r="B97" s="62"/>
      <c r="C97" s="63">
        <v>20000</v>
      </c>
      <c r="D97" s="58">
        <f t="shared" si="1"/>
        <v>0</v>
      </c>
      <c r="E97" s="196" t="s">
        <v>19</v>
      </c>
      <c r="F97" s="196" t="s">
        <v>20</v>
      </c>
      <c r="G97" s="296" t="s">
        <v>21</v>
      </c>
      <c r="H97" s="296"/>
      <c r="I97" s="29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s="5" customFormat="1" ht="15" customHeight="1" x14ac:dyDescent="0.35">
      <c r="A98" s="40"/>
      <c r="B98" s="62"/>
      <c r="C98" s="63">
        <v>10000</v>
      </c>
      <c r="D98" s="58">
        <f t="shared" si="1"/>
        <v>0</v>
      </c>
      <c r="E98" s="197" t="s">
        <v>79</v>
      </c>
      <c r="F98" s="197" t="s">
        <v>80</v>
      </c>
      <c r="G98" s="298" t="s">
        <v>81</v>
      </c>
      <c r="H98" s="298"/>
      <c r="I98" s="29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s="5" customFormat="1" ht="15" customHeight="1" x14ac:dyDescent="0.35">
      <c r="A99" s="40"/>
      <c r="B99" s="62"/>
      <c r="C99" s="63">
        <v>5000</v>
      </c>
      <c r="D99" s="58">
        <f t="shared" si="1"/>
        <v>0</v>
      </c>
      <c r="E99" s="38" t="s">
        <v>0</v>
      </c>
      <c r="F99" s="38"/>
      <c r="G99" s="38"/>
      <c r="H99" s="38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s="5" customFormat="1" ht="15" customHeight="1" x14ac:dyDescent="0.35">
      <c r="A100" s="40"/>
      <c r="B100" s="62">
        <v>2</v>
      </c>
      <c r="C100" s="63">
        <v>2000</v>
      </c>
      <c r="D100" s="58">
        <f t="shared" si="1"/>
        <v>4000</v>
      </c>
      <c r="E100" s="38"/>
      <c r="F100" s="38" t="s">
        <v>8</v>
      </c>
      <c r="G100" s="38"/>
      <c r="H100" s="38"/>
      <c r="I100" s="3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s="5" customFormat="1" ht="15" customHeight="1" x14ac:dyDescent="0.35">
      <c r="A101" s="40"/>
      <c r="B101" s="62"/>
      <c r="C101" s="63">
        <v>1000</v>
      </c>
      <c r="D101" s="58">
        <f t="shared" si="1"/>
        <v>0</v>
      </c>
      <c r="E101" s="38"/>
      <c r="F101" s="38"/>
      <c r="G101" s="38"/>
      <c r="H101" s="38"/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s="1" customFormat="1" ht="15" customHeight="1" x14ac:dyDescent="0.35">
      <c r="A102" s="40"/>
      <c r="B102" s="62">
        <v>3</v>
      </c>
      <c r="C102" s="63">
        <v>500</v>
      </c>
      <c r="D102" s="58">
        <f t="shared" si="1"/>
        <v>1500</v>
      </c>
      <c r="E102" s="38"/>
      <c r="F102" s="38"/>
      <c r="G102" s="38"/>
      <c r="H102" s="38"/>
      <c r="I102" s="39"/>
    </row>
    <row r="103" spans="1:37" s="1" customFormat="1" ht="15" customHeight="1" x14ac:dyDescent="0.35">
      <c r="A103" s="40"/>
      <c r="B103" s="62"/>
      <c r="C103" s="63">
        <v>200</v>
      </c>
      <c r="D103" s="58">
        <f t="shared" si="1"/>
        <v>0</v>
      </c>
      <c r="E103" s="38"/>
      <c r="F103" s="38"/>
      <c r="G103" s="38"/>
      <c r="H103" s="38"/>
      <c r="I103" s="39"/>
    </row>
    <row r="104" spans="1:37" s="1" customFormat="1" ht="15" customHeight="1" x14ac:dyDescent="0.35">
      <c r="A104" s="40"/>
      <c r="B104" s="62">
        <v>3</v>
      </c>
      <c r="C104" s="63">
        <v>100</v>
      </c>
      <c r="D104" s="58">
        <f>+C104*B104</f>
        <v>300</v>
      </c>
      <c r="E104" s="38"/>
      <c r="F104" s="38"/>
      <c r="G104" s="38"/>
      <c r="H104" s="38"/>
      <c r="I104" s="39"/>
    </row>
    <row r="105" spans="1:37" s="5" customFormat="1" ht="15" customHeight="1" thickBot="1" x14ac:dyDescent="0.4">
      <c r="A105" s="40"/>
      <c r="B105" s="68"/>
      <c r="C105" s="69">
        <v>50</v>
      </c>
      <c r="D105" s="58">
        <f t="shared" si="1"/>
        <v>0</v>
      </c>
      <c r="E105" s="38"/>
      <c r="F105" s="38"/>
      <c r="G105" s="38"/>
      <c r="H105" s="38"/>
      <c r="I105" s="3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s="1" customFormat="1" ht="15" customHeight="1" thickBot="1" x14ac:dyDescent="0.4">
      <c r="A106" s="40"/>
      <c r="B106" s="198"/>
      <c r="C106" s="70"/>
      <c r="D106" s="71">
        <f>SUM(D96:D105)</f>
        <v>5800</v>
      </c>
      <c r="E106" s="38"/>
      <c r="F106" s="38"/>
      <c r="G106" s="38"/>
      <c r="H106" s="38"/>
      <c r="I106" s="39"/>
    </row>
    <row r="107" spans="1:37" s="5" customFormat="1" ht="15" customHeight="1" thickBot="1" x14ac:dyDescent="0.4">
      <c r="A107" s="72"/>
      <c r="B107" s="73"/>
      <c r="C107" s="74"/>
      <c r="D107" s="75"/>
      <c r="E107" s="76"/>
      <c r="F107" s="76"/>
      <c r="G107" s="76"/>
      <c r="H107" s="76"/>
      <c r="I107" s="7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s="5" customFormat="1" ht="22.5" customHeight="1" x14ac:dyDescent="0.35">
      <c r="A108" s="1"/>
      <c r="B108"/>
      <c r="C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s="3" customFormat="1" ht="22.5" customHeight="1" x14ac:dyDescent="0.35">
      <c r="A109"/>
      <c r="B109"/>
      <c r="C109" s="6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 s="3" customFormat="1" ht="22.5" customHeight="1" x14ac:dyDescent="0.35">
      <c r="A110"/>
      <c r="B110"/>
      <c r="C110" s="6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 s="3" customFormat="1" ht="22.5" customHeight="1" x14ac:dyDescent="0.35">
      <c r="A111"/>
      <c r="B111"/>
      <c r="C111" s="6"/>
      <c r="D111" s="7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</sheetData>
  <mergeCells count="28">
    <mergeCell ref="B67:B84"/>
    <mergeCell ref="A90:D90"/>
    <mergeCell ref="G96:I96"/>
    <mergeCell ref="G97:I97"/>
    <mergeCell ref="G98:I98"/>
    <mergeCell ref="A86:E86"/>
    <mergeCell ref="A87:C89"/>
    <mergeCell ref="D87:E89"/>
    <mergeCell ref="F87:F89"/>
    <mergeCell ref="G87:H87"/>
    <mergeCell ref="G88:H88"/>
    <mergeCell ref="G89:H89"/>
    <mergeCell ref="A7:B7"/>
    <mergeCell ref="C7:I7"/>
    <mergeCell ref="A8:I8"/>
    <mergeCell ref="B54:B56"/>
    <mergeCell ref="B58:B65"/>
    <mergeCell ref="B10:B36"/>
    <mergeCell ref="B38:B42"/>
    <mergeCell ref="B44:B46"/>
    <mergeCell ref="B47:B49"/>
    <mergeCell ref="B51:B52"/>
    <mergeCell ref="A1:B6"/>
    <mergeCell ref="C1:F3"/>
    <mergeCell ref="G1:I2"/>
    <mergeCell ref="G3:I4"/>
    <mergeCell ref="C4:F6"/>
    <mergeCell ref="G5:I6"/>
  </mergeCells>
  <pageMargins left="0.7" right="0.7" top="0.75" bottom="0.75" header="0.3" footer="0.3"/>
  <pageSetup scale="4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09"/>
  <sheetViews>
    <sheetView showGridLines="0" topLeftCell="A73" workbookViewId="0">
      <selection activeCell="I105" sqref="A1:I105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43395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08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08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340" t="s">
        <v>32</v>
      </c>
      <c r="C10" s="107">
        <v>43382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177">
        <v>0</v>
      </c>
      <c r="I10" s="22">
        <f>IF($K$14=1,G10+H10,G10*H10)</f>
        <v>9700</v>
      </c>
    </row>
    <row r="11" spans="1:12" s="1" customFormat="1" ht="15" thickBot="1" x14ac:dyDescent="0.4">
      <c r="A11" s="82">
        <v>2</v>
      </c>
      <c r="B11" s="341"/>
      <c r="C11" s="108">
        <v>43384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31">
        <f>IF($K$14=1,G11+H11,G11*H11)</f>
        <v>9700</v>
      </c>
    </row>
    <row r="12" spans="1:12" s="1" customFormat="1" ht="15" thickBot="1" x14ac:dyDescent="0.4">
      <c r="A12" s="82">
        <v>3</v>
      </c>
      <c r="B12" s="341"/>
      <c r="C12" s="108">
        <v>43382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31">
        <f t="shared" ref="I12:I82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43376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31">
        <f t="shared" si="0"/>
        <v>9700</v>
      </c>
    </row>
    <row r="14" spans="1:12" s="1" customFormat="1" ht="15" thickBot="1" x14ac:dyDescent="0.4">
      <c r="A14" s="82">
        <v>5</v>
      </c>
      <c r="B14" s="341"/>
      <c r="C14" s="108">
        <v>43384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43389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43384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31">
        <f t="shared" si="0"/>
        <v>9700</v>
      </c>
    </row>
    <row r="17" spans="1:9" s="1" customFormat="1" ht="15" thickBot="1" x14ac:dyDescent="0.4">
      <c r="A17" s="82">
        <v>8</v>
      </c>
      <c r="B17" s="341"/>
      <c r="C17" s="108">
        <v>43383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31">
        <f t="shared" si="0"/>
        <v>9700</v>
      </c>
    </row>
    <row r="18" spans="1:9" s="1" customFormat="1" ht="15" thickBot="1" x14ac:dyDescent="0.4">
      <c r="A18" s="82">
        <v>9</v>
      </c>
      <c r="B18" s="341"/>
      <c r="C18" s="108">
        <v>43378</v>
      </c>
      <c r="D18" s="26">
        <v>900380028</v>
      </c>
      <c r="E18" s="27" t="str">
        <f>VLOOKUP(D18,[1]TERCEROS!$A$2:$C$4000,3,FALSE)</f>
        <v>INMOBILIARIA CENTRO SAN MARTIN</v>
      </c>
      <c r="F18" s="28" t="s">
        <v>35</v>
      </c>
      <c r="G18" s="29">
        <v>12294</v>
      </c>
      <c r="H18" s="178">
        <f>+G18*19%</f>
        <v>2335.86</v>
      </c>
      <c r="I18" s="31">
        <f t="shared" si="0"/>
        <v>14629.86</v>
      </c>
    </row>
    <row r="19" spans="1:9" s="1" customFormat="1" ht="15" thickBot="1" x14ac:dyDescent="0.4">
      <c r="A19" s="82">
        <v>10</v>
      </c>
      <c r="B19" s="341"/>
      <c r="C19" s="108">
        <v>43383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31">
        <f t="shared" si="0"/>
        <v>9700</v>
      </c>
    </row>
    <row r="20" spans="1:9" s="1" customFormat="1" ht="15" thickBot="1" x14ac:dyDescent="0.4">
      <c r="A20" s="82">
        <v>11</v>
      </c>
      <c r="B20" s="341"/>
      <c r="C20" s="108">
        <v>43375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43383</v>
      </c>
      <c r="D21" s="26">
        <v>900380028</v>
      </c>
      <c r="E21" s="27" t="str">
        <f>VLOOKUP(D21,[1]TERCEROS!$A$2:$C$4000,3,FALSE)</f>
        <v>INMOBILIARIA CENTRO SAN MARTIN</v>
      </c>
      <c r="F21" s="28" t="s">
        <v>35</v>
      </c>
      <c r="G21" s="29">
        <v>6785</v>
      </c>
      <c r="H21" s="178">
        <f>+G21*19%</f>
        <v>1289.1500000000001</v>
      </c>
      <c r="I21" s="31">
        <f t="shared" si="0"/>
        <v>8074.15</v>
      </c>
    </row>
    <row r="22" spans="1:9" s="1" customFormat="1" ht="15" thickBot="1" x14ac:dyDescent="0.4">
      <c r="A22" s="82">
        <v>13</v>
      </c>
      <c r="B22" s="341"/>
      <c r="C22" s="108">
        <v>43383</v>
      </c>
      <c r="D22" s="26">
        <v>860519967</v>
      </c>
      <c r="E22" s="27" t="str">
        <f>VLOOKUP(D22,[1]TERCEROS!$A$2:$C$4000,3,FALSE)</f>
        <v>AUTO CENTRO SANTANA S.A.S</v>
      </c>
      <c r="F22" s="28" t="s">
        <v>34</v>
      </c>
      <c r="G22" s="29">
        <v>30000</v>
      </c>
      <c r="H22" s="178">
        <v>0</v>
      </c>
      <c r="I22" s="31">
        <f t="shared" si="0"/>
        <v>30000</v>
      </c>
    </row>
    <row r="23" spans="1:9" s="1" customFormat="1" ht="15" thickBot="1" x14ac:dyDescent="0.4">
      <c r="A23" s="82">
        <v>14</v>
      </c>
      <c r="B23" s="341"/>
      <c r="C23" s="108">
        <v>43383</v>
      </c>
      <c r="D23" s="26">
        <v>900487907</v>
      </c>
      <c r="E23" s="27" t="s">
        <v>347</v>
      </c>
      <c r="F23" s="28" t="s">
        <v>35</v>
      </c>
      <c r="G23" s="29">
        <f>+I23/1.19</f>
        <v>15000</v>
      </c>
      <c r="H23" s="178">
        <f>+G23*19%</f>
        <v>2850</v>
      </c>
      <c r="I23" s="31">
        <v>17850</v>
      </c>
    </row>
    <row r="24" spans="1:9" s="1" customFormat="1" ht="15" thickBot="1" x14ac:dyDescent="0.4">
      <c r="A24" s="82">
        <v>15</v>
      </c>
      <c r="B24" s="341"/>
      <c r="C24" s="108">
        <v>43389</v>
      </c>
      <c r="D24" s="26">
        <v>860528396</v>
      </c>
      <c r="E24" s="27" t="str">
        <f>VLOOKUP(D24,[1]TERCEROS!$A$2:$C$4000,3,FALSE)</f>
        <v>COMERCIAL PAPELERA LTDA</v>
      </c>
      <c r="F24" s="28" t="s">
        <v>54</v>
      </c>
      <c r="G24" s="29">
        <v>966</v>
      </c>
      <c r="H24" s="178">
        <f>+G24*19%</f>
        <v>183.54</v>
      </c>
      <c r="I24" s="31">
        <f t="shared" si="0"/>
        <v>1149.54</v>
      </c>
    </row>
    <row r="25" spans="1:9" s="1" customFormat="1" ht="15" thickBot="1" x14ac:dyDescent="0.4">
      <c r="A25" s="82">
        <v>16</v>
      </c>
      <c r="B25" s="341"/>
      <c r="C25" s="108">
        <v>43386</v>
      </c>
      <c r="D25" s="26">
        <v>830054076</v>
      </c>
      <c r="E25" s="27" t="str">
        <f>VLOOKUP(D25,[1]TERCEROS!$A$2:$C$4000,3,FALSE)</f>
        <v>FIDEICOMISOS SOCIEDAD FIDUCIARIA</v>
      </c>
      <c r="F25" s="28" t="s">
        <v>59</v>
      </c>
      <c r="G25" s="29">
        <v>9700</v>
      </c>
      <c r="H25" s="178">
        <v>0</v>
      </c>
      <c r="I25" s="31">
        <f t="shared" si="0"/>
        <v>9700</v>
      </c>
    </row>
    <row r="26" spans="1:9" s="1" customFormat="1" ht="15" thickBot="1" x14ac:dyDescent="0.4">
      <c r="A26" s="82">
        <v>17</v>
      </c>
      <c r="B26" s="341"/>
      <c r="C26" s="108">
        <v>43386</v>
      </c>
      <c r="D26" s="26">
        <v>830054076</v>
      </c>
      <c r="E26" s="27" t="str">
        <f>VLOOKUP(D26,[1]TERCEROS!$A$2:$C$4000,3,FALSE)</f>
        <v>FIDEICOMISOS SOCIEDAD FIDUCIARIA</v>
      </c>
      <c r="F26" s="28" t="s">
        <v>59</v>
      </c>
      <c r="G26" s="29">
        <v>9700</v>
      </c>
      <c r="H26" s="178">
        <v>0</v>
      </c>
      <c r="I26" s="31">
        <f t="shared" si="0"/>
        <v>9700</v>
      </c>
    </row>
    <row r="27" spans="1:9" s="1" customFormat="1" ht="15" thickBot="1" x14ac:dyDescent="0.4">
      <c r="A27" s="82">
        <v>18</v>
      </c>
      <c r="B27" s="341"/>
      <c r="C27" s="108">
        <v>43386</v>
      </c>
      <c r="D27" s="26">
        <v>10306806</v>
      </c>
      <c r="E27" s="27" t="str">
        <f>VLOOKUP(D27,[1]TERCEROS!$A$2:$C$4000,3,FALSE)</f>
        <v>JAIRO ALBERTO MOSQUERA SAAVEDRA</v>
      </c>
      <c r="F27" s="28" t="s">
        <v>348</v>
      </c>
      <c r="G27" s="29">
        <v>19400</v>
      </c>
      <c r="H27" s="178">
        <v>0</v>
      </c>
      <c r="I27" s="31">
        <f t="shared" si="0"/>
        <v>19400</v>
      </c>
    </row>
    <row r="28" spans="1:9" s="1" customFormat="1" ht="15" thickBot="1" x14ac:dyDescent="0.4">
      <c r="A28" s="82">
        <v>19</v>
      </c>
      <c r="B28" s="341"/>
      <c r="C28" s="108">
        <v>43386</v>
      </c>
      <c r="D28" s="26">
        <v>900491889</v>
      </c>
      <c r="E28" s="27" t="str">
        <f>VLOOKUP(D28,[1]TERCEROS!$A$2:$C$4000,3,FALSE)</f>
        <v>EDS TERMINAL NEIVA</v>
      </c>
      <c r="F28" s="28" t="s">
        <v>341</v>
      </c>
      <c r="G28" s="29">
        <v>25800</v>
      </c>
      <c r="H28" s="178">
        <v>0</v>
      </c>
      <c r="I28" s="31">
        <f t="shared" si="0"/>
        <v>25800</v>
      </c>
    </row>
    <row r="29" spans="1:9" s="1" customFormat="1" ht="15" thickBot="1" x14ac:dyDescent="0.4">
      <c r="A29" s="82">
        <v>20</v>
      </c>
      <c r="B29" s="341"/>
      <c r="C29" s="108">
        <v>43375</v>
      </c>
      <c r="D29" s="26">
        <v>860036892</v>
      </c>
      <c r="E29" s="27" t="s">
        <v>349</v>
      </c>
      <c r="F29" s="28" t="s">
        <v>350</v>
      </c>
      <c r="G29" s="29">
        <v>96800</v>
      </c>
      <c r="H29" s="178">
        <v>0</v>
      </c>
      <c r="I29" s="31">
        <f t="shared" si="0"/>
        <v>96800</v>
      </c>
    </row>
    <row r="30" spans="1:9" s="1" customFormat="1" ht="15" thickBot="1" x14ac:dyDescent="0.4">
      <c r="A30" s="82">
        <v>21</v>
      </c>
      <c r="B30" s="341"/>
      <c r="C30" s="108">
        <v>43384</v>
      </c>
      <c r="D30" s="26">
        <v>900335241</v>
      </c>
      <c r="E30" s="27" t="str">
        <f>VLOOKUP(D30,[1]TERCEROS!$A$2:$C$4000,3,FALSE)</f>
        <v>MIS CARNES PARRILLA S.A.S</v>
      </c>
      <c r="F30" s="28" t="s">
        <v>341</v>
      </c>
      <c r="G30" s="29">
        <v>45500</v>
      </c>
      <c r="H30" s="178">
        <v>0</v>
      </c>
      <c r="I30" s="31">
        <f t="shared" si="0"/>
        <v>45500</v>
      </c>
    </row>
    <row r="31" spans="1:9" s="1" customFormat="1" ht="24.5" thickBot="1" x14ac:dyDescent="0.4">
      <c r="A31" s="82">
        <v>22</v>
      </c>
      <c r="B31" s="341"/>
      <c r="C31" s="132">
        <v>43390</v>
      </c>
      <c r="D31" s="91">
        <v>830131993</v>
      </c>
      <c r="E31" s="92" t="str">
        <f>VLOOKUP(D31,[1]TERCEROS!$A$2:$C$4000,3,FALSE)</f>
        <v>EFECTIVO LTDA</v>
      </c>
      <c r="F31" s="86" t="s">
        <v>351</v>
      </c>
      <c r="G31" s="87">
        <v>106000</v>
      </c>
      <c r="H31" s="180">
        <v>0</v>
      </c>
      <c r="I31" s="89">
        <f t="shared" si="0"/>
        <v>106000</v>
      </c>
    </row>
    <row r="32" spans="1:9" s="1" customFormat="1" ht="15" thickBot="1" x14ac:dyDescent="0.4">
      <c r="A32" s="82">
        <v>23</v>
      </c>
      <c r="B32" s="151" t="s">
        <v>247</v>
      </c>
      <c r="C32" s="126">
        <v>43389</v>
      </c>
      <c r="D32" s="127">
        <v>396867</v>
      </c>
      <c r="E32" s="145" t="str">
        <f>VLOOKUP(D32,[1]TERCEROS!$A$2:$C$4000,3,FALSE)</f>
        <v>ALEJANDRO AIKEN TORRES ARROYO</v>
      </c>
      <c r="F32" s="128" t="s">
        <v>352</v>
      </c>
      <c r="G32" s="129">
        <v>50000</v>
      </c>
      <c r="H32" s="202">
        <v>0</v>
      </c>
      <c r="I32" s="131">
        <f t="shared" si="0"/>
        <v>50000</v>
      </c>
    </row>
    <row r="33" spans="1:9" s="1" customFormat="1" ht="15" thickBot="1" x14ac:dyDescent="0.4">
      <c r="A33" s="82">
        <v>24</v>
      </c>
      <c r="B33" s="347" t="s">
        <v>32</v>
      </c>
      <c r="C33" s="107">
        <v>43381</v>
      </c>
      <c r="D33" s="17">
        <v>1031138543</v>
      </c>
      <c r="E33" s="18" t="str">
        <f>VLOOKUP(D33,[1]TERCEROS!$A$2:$C$4000,3,FALSE)</f>
        <v>OSCAR EDUARDO VALENCIA</v>
      </c>
      <c r="F33" s="19" t="s">
        <v>340</v>
      </c>
      <c r="G33" s="20">
        <v>130000</v>
      </c>
      <c r="H33" s="177">
        <v>0</v>
      </c>
      <c r="I33" s="22">
        <f t="shared" si="0"/>
        <v>130000</v>
      </c>
    </row>
    <row r="34" spans="1:9" s="1" customFormat="1" ht="15" thickBot="1" x14ac:dyDescent="0.4">
      <c r="A34" s="82">
        <v>25</v>
      </c>
      <c r="B34" s="326"/>
      <c r="C34" s="108">
        <v>43384</v>
      </c>
      <c r="D34" s="26">
        <v>11202446</v>
      </c>
      <c r="E34" s="27" t="str">
        <f>VLOOKUP(D34,[1]TERCEROS!$A$2:$C$4000,3,FALSE)</f>
        <v>CARLOS EMILIANO MARTINEZ CRISTANCHO</v>
      </c>
      <c r="F34" s="28" t="s">
        <v>48</v>
      </c>
      <c r="G34" s="29">
        <v>40000</v>
      </c>
      <c r="H34" s="178">
        <v>0</v>
      </c>
      <c r="I34" s="31">
        <f t="shared" si="0"/>
        <v>40000</v>
      </c>
    </row>
    <row r="35" spans="1:9" s="1" customFormat="1" ht="15" thickBot="1" x14ac:dyDescent="0.4">
      <c r="A35" s="82">
        <v>26</v>
      </c>
      <c r="B35" s="326"/>
      <c r="C35" s="108">
        <v>43383</v>
      </c>
      <c r="D35" s="26">
        <v>11202446</v>
      </c>
      <c r="E35" s="27" t="str">
        <f>VLOOKUP(D35,[1]TERCEROS!$A$2:$C$4000,3,FALSE)</f>
        <v>CARLOS EMILIANO MARTINEZ CRISTANCHO</v>
      </c>
      <c r="F35" s="28" t="s">
        <v>48</v>
      </c>
      <c r="G35" s="29">
        <v>40000</v>
      </c>
      <c r="H35" s="178">
        <v>0</v>
      </c>
      <c r="I35" s="31">
        <f t="shared" si="0"/>
        <v>40000</v>
      </c>
    </row>
    <row r="36" spans="1:9" s="1" customFormat="1" ht="15" thickBot="1" x14ac:dyDescent="0.4">
      <c r="A36" s="82">
        <v>27</v>
      </c>
      <c r="B36" s="326"/>
      <c r="C36" s="108">
        <v>43382</v>
      </c>
      <c r="D36" s="26">
        <v>1031138543</v>
      </c>
      <c r="E36" s="27" t="str">
        <f>VLOOKUP(D36,[1]TERCEROS!$A$2:$C$4000,3,FALSE)</f>
        <v>OSCAR EDUARDO VALENCIA</v>
      </c>
      <c r="F36" s="28" t="s">
        <v>340</v>
      </c>
      <c r="G36" s="29">
        <v>130000</v>
      </c>
      <c r="H36" s="178">
        <v>0</v>
      </c>
      <c r="I36" s="31">
        <f t="shared" si="0"/>
        <v>130000</v>
      </c>
    </row>
    <row r="37" spans="1:9" s="1" customFormat="1" ht="15" thickBot="1" x14ac:dyDescent="0.4">
      <c r="A37" s="82">
        <v>28</v>
      </c>
      <c r="B37" s="326"/>
      <c r="C37" s="108">
        <v>43389</v>
      </c>
      <c r="D37" s="26">
        <v>19426197</v>
      </c>
      <c r="E37" s="27" t="str">
        <f>VLOOKUP(D37,[1]TERCEROS!$A$2:$C$4000,3,FALSE)</f>
        <v>ROA ARANDA MANUEL JOSE</v>
      </c>
      <c r="F37" s="28" t="s">
        <v>48</v>
      </c>
      <c r="G37" s="29">
        <v>14500</v>
      </c>
      <c r="H37" s="178">
        <v>0</v>
      </c>
      <c r="I37" s="31">
        <f t="shared" si="0"/>
        <v>14500</v>
      </c>
    </row>
    <row r="38" spans="1:9" s="1" customFormat="1" ht="15" thickBot="1" x14ac:dyDescent="0.4">
      <c r="A38" s="82">
        <v>29</v>
      </c>
      <c r="B38" s="326"/>
      <c r="C38" s="108">
        <v>43386</v>
      </c>
      <c r="D38" s="26">
        <v>11442335</v>
      </c>
      <c r="E38" s="27" t="s">
        <v>353</v>
      </c>
      <c r="F38" s="28" t="s">
        <v>341</v>
      </c>
      <c r="G38" s="29">
        <v>107000</v>
      </c>
      <c r="H38" s="178">
        <v>0</v>
      </c>
      <c r="I38" s="31">
        <f t="shared" si="0"/>
        <v>107000</v>
      </c>
    </row>
    <row r="39" spans="1:9" s="1" customFormat="1" ht="15" thickBot="1" x14ac:dyDescent="0.4">
      <c r="A39" s="82">
        <v>30</v>
      </c>
      <c r="B39" s="326"/>
      <c r="C39" s="108">
        <v>43389</v>
      </c>
      <c r="D39" s="26">
        <v>20993981</v>
      </c>
      <c r="E39" s="27" t="str">
        <f>VLOOKUP(D39,[1]TERCEROS!$A$2:$C$4000,3,FALSE)</f>
        <v>MARTA LUCIA GOMEZ HILARION</v>
      </c>
      <c r="F39" s="28" t="s">
        <v>48</v>
      </c>
      <c r="G39" s="29">
        <v>10500</v>
      </c>
      <c r="H39" s="178">
        <v>0</v>
      </c>
      <c r="I39" s="31">
        <f t="shared" si="0"/>
        <v>10500</v>
      </c>
    </row>
    <row r="40" spans="1:9" s="1" customFormat="1" ht="15" thickBot="1" x14ac:dyDescent="0.4">
      <c r="A40" s="82">
        <v>31</v>
      </c>
      <c r="B40" s="348"/>
      <c r="C40" s="109">
        <v>43377</v>
      </c>
      <c r="D40" s="110">
        <v>1031138543</v>
      </c>
      <c r="E40" s="111" t="str">
        <f>VLOOKUP(D40,[1]TERCEROS!$A$2:$C$4000,3,FALSE)</f>
        <v>OSCAR EDUARDO VALENCIA</v>
      </c>
      <c r="F40" s="112" t="s">
        <v>340</v>
      </c>
      <c r="G40" s="113">
        <v>130000</v>
      </c>
      <c r="H40" s="179">
        <v>0</v>
      </c>
      <c r="I40" s="115">
        <f t="shared" si="0"/>
        <v>130000</v>
      </c>
    </row>
    <row r="41" spans="1:9" s="1" customFormat="1" ht="15" thickBot="1" x14ac:dyDescent="0.4">
      <c r="A41" s="82">
        <v>32</v>
      </c>
      <c r="B41" s="340" t="s">
        <v>197</v>
      </c>
      <c r="C41" s="203">
        <v>43379</v>
      </c>
      <c r="D41" s="120">
        <v>901109893</v>
      </c>
      <c r="E41" s="121" t="s">
        <v>354</v>
      </c>
      <c r="F41" s="122" t="s">
        <v>34</v>
      </c>
      <c r="G41" s="123">
        <v>33026</v>
      </c>
      <c r="H41" s="204">
        <v>0</v>
      </c>
      <c r="I41" s="125">
        <f t="shared" si="0"/>
        <v>33026</v>
      </c>
    </row>
    <row r="42" spans="1:9" s="1" customFormat="1" ht="15" thickBot="1" x14ac:dyDescent="0.4">
      <c r="A42" s="82">
        <v>33</v>
      </c>
      <c r="B42" s="341"/>
      <c r="C42" s="108">
        <v>43379</v>
      </c>
      <c r="D42" s="26">
        <v>860072271</v>
      </c>
      <c r="E42" s="27" t="str">
        <f>VLOOKUP(D42,[1]TERCEROS!$A$2:$C$4000,3,FALSE)</f>
        <v>CENTRAL DE TORNILLOS</v>
      </c>
      <c r="F42" s="28" t="s">
        <v>355</v>
      </c>
      <c r="G42" s="29">
        <v>50840</v>
      </c>
      <c r="H42" s="178">
        <f>+G42*19%</f>
        <v>9659.6</v>
      </c>
      <c r="I42" s="31">
        <f t="shared" si="0"/>
        <v>60499.6</v>
      </c>
    </row>
    <row r="43" spans="1:9" s="1" customFormat="1" ht="15" thickBot="1" x14ac:dyDescent="0.4">
      <c r="A43" s="82">
        <v>34</v>
      </c>
      <c r="B43" s="341"/>
      <c r="C43" s="108">
        <v>43385</v>
      </c>
      <c r="D43" s="26">
        <v>901109893</v>
      </c>
      <c r="E43" s="27" t="s">
        <v>354</v>
      </c>
      <c r="F43" s="28" t="s">
        <v>34</v>
      </c>
      <c r="G43" s="29">
        <v>22013</v>
      </c>
      <c r="H43" s="178">
        <v>0</v>
      </c>
      <c r="I43" s="31">
        <f t="shared" si="0"/>
        <v>22013</v>
      </c>
    </row>
    <row r="44" spans="1:9" s="1" customFormat="1" ht="15" thickBot="1" x14ac:dyDescent="0.4">
      <c r="A44" s="82">
        <v>35</v>
      </c>
      <c r="B44" s="346"/>
      <c r="C44" s="132">
        <v>43386</v>
      </c>
      <c r="D44" s="91">
        <v>860242106</v>
      </c>
      <c r="E44" s="92" t="s">
        <v>356</v>
      </c>
      <c r="F44" s="86" t="s">
        <v>357</v>
      </c>
      <c r="G44" s="87">
        <v>19244</v>
      </c>
      <c r="H44" s="180">
        <f>+G44*19%</f>
        <v>3656.36</v>
      </c>
      <c r="I44" s="89">
        <f t="shared" si="0"/>
        <v>22900.36</v>
      </c>
    </row>
    <row r="45" spans="1:9" s="1" customFormat="1" ht="15" thickBot="1" x14ac:dyDescent="0.4">
      <c r="A45" s="82">
        <v>36</v>
      </c>
      <c r="B45" s="347" t="s">
        <v>32</v>
      </c>
      <c r="C45" s="107">
        <v>43370</v>
      </c>
      <c r="D45" s="17">
        <v>72151045</v>
      </c>
      <c r="E45" s="18" t="str">
        <f>VLOOKUP(D45,[1]TERCEROS!$A$2:$C$4000,3,FALSE)</f>
        <v>EDINSON ROMERO</v>
      </c>
      <c r="F45" s="19" t="s">
        <v>48</v>
      </c>
      <c r="G45" s="20">
        <v>14000</v>
      </c>
      <c r="H45" s="177">
        <v>0</v>
      </c>
      <c r="I45" s="22">
        <f t="shared" si="0"/>
        <v>14000</v>
      </c>
    </row>
    <row r="46" spans="1:9" s="1" customFormat="1" ht="15" thickBot="1" x14ac:dyDescent="0.4">
      <c r="A46" s="82">
        <v>37</v>
      </c>
      <c r="B46" s="326"/>
      <c r="C46" s="108">
        <v>43373</v>
      </c>
      <c r="D46" s="26">
        <v>72151045</v>
      </c>
      <c r="E46" s="27" t="str">
        <f>VLOOKUP(D46,[1]TERCEROS!$A$2:$C$4000,3,FALSE)</f>
        <v>EDINSON ROMERO</v>
      </c>
      <c r="F46" s="28" t="s">
        <v>48</v>
      </c>
      <c r="G46" s="29">
        <v>15000</v>
      </c>
      <c r="H46" s="178">
        <v>0</v>
      </c>
      <c r="I46" s="31">
        <f t="shared" si="0"/>
        <v>15000</v>
      </c>
    </row>
    <row r="47" spans="1:9" s="1" customFormat="1" ht="15" thickBot="1" x14ac:dyDescent="0.4">
      <c r="A47" s="82">
        <v>38</v>
      </c>
      <c r="B47" s="326"/>
      <c r="C47" s="108">
        <v>43372</v>
      </c>
      <c r="D47" s="26">
        <v>72151045</v>
      </c>
      <c r="E47" s="27" t="str">
        <f>VLOOKUP(D47,[1]TERCEROS!$A$2:$C$4000,3,FALSE)</f>
        <v>EDINSON ROMERO</v>
      </c>
      <c r="F47" s="28" t="s">
        <v>48</v>
      </c>
      <c r="G47" s="29">
        <v>15000</v>
      </c>
      <c r="H47" s="178">
        <v>0</v>
      </c>
      <c r="I47" s="31">
        <f t="shared" si="0"/>
        <v>15000</v>
      </c>
    </row>
    <row r="48" spans="1:9" s="1" customFormat="1" ht="15" thickBot="1" x14ac:dyDescent="0.4">
      <c r="A48" s="82">
        <v>39</v>
      </c>
      <c r="B48" s="326"/>
      <c r="C48" s="108">
        <v>43371</v>
      </c>
      <c r="D48" s="26">
        <v>72151045</v>
      </c>
      <c r="E48" s="27" t="str">
        <f>VLOOKUP(D48,[1]TERCEROS!$A$2:$C$4000,3,FALSE)</f>
        <v>EDINSON ROMERO</v>
      </c>
      <c r="F48" s="28" t="s">
        <v>48</v>
      </c>
      <c r="G48" s="29">
        <v>15000</v>
      </c>
      <c r="H48" s="178">
        <v>0</v>
      </c>
      <c r="I48" s="31">
        <f t="shared" si="0"/>
        <v>15000</v>
      </c>
    </row>
    <row r="49" spans="1:12" s="1" customFormat="1" ht="15" thickBot="1" x14ac:dyDescent="0.4">
      <c r="A49" s="82">
        <v>40</v>
      </c>
      <c r="B49" s="326"/>
      <c r="C49" s="108">
        <v>43374</v>
      </c>
      <c r="D49" s="26">
        <v>830054076</v>
      </c>
      <c r="E49" s="27" t="str">
        <f>VLOOKUP(D49,[1]TERCEROS!$A$2:$C$4000,3,FALSE)</f>
        <v>FIDEICOMISOS SOCIEDAD FIDUCIARIA</v>
      </c>
      <c r="F49" s="28" t="s">
        <v>59</v>
      </c>
      <c r="G49" s="29">
        <v>9700</v>
      </c>
      <c r="H49" s="219"/>
      <c r="I49" s="31">
        <f t="shared" si="0"/>
        <v>9700</v>
      </c>
      <c r="L49" s="210">
        <f>+G49*19%</f>
        <v>1843</v>
      </c>
    </row>
    <row r="50" spans="1:12" s="1" customFormat="1" ht="15" thickBot="1" x14ac:dyDescent="0.4">
      <c r="A50" s="82">
        <v>41</v>
      </c>
      <c r="B50" s="326"/>
      <c r="C50" s="108">
        <v>43371</v>
      </c>
      <c r="D50" s="26">
        <v>830054076</v>
      </c>
      <c r="E50" s="27" t="str">
        <f>VLOOKUP(D50,[1]TERCEROS!$A$2:$C$4000,3,FALSE)</f>
        <v>FIDEICOMISOS SOCIEDAD FIDUCIARIA</v>
      </c>
      <c r="F50" s="28" t="s">
        <v>59</v>
      </c>
      <c r="G50" s="29">
        <v>9700</v>
      </c>
      <c r="H50" s="178">
        <v>0</v>
      </c>
      <c r="I50" s="31">
        <f t="shared" si="0"/>
        <v>9700</v>
      </c>
    </row>
    <row r="51" spans="1:12" s="1" customFormat="1" ht="15" thickBot="1" x14ac:dyDescent="0.4">
      <c r="A51" s="82">
        <v>42</v>
      </c>
      <c r="B51" s="326"/>
      <c r="C51" s="108">
        <v>43371</v>
      </c>
      <c r="D51" s="26">
        <v>830054076</v>
      </c>
      <c r="E51" s="27" t="str">
        <f>VLOOKUP(D51,[1]TERCEROS!$A$2:$C$4000,3,FALSE)</f>
        <v>FIDEICOMISOS SOCIEDAD FIDUCIARIA</v>
      </c>
      <c r="F51" s="28" t="s">
        <v>59</v>
      </c>
      <c r="G51" s="29">
        <v>9700</v>
      </c>
      <c r="H51" s="178">
        <v>0</v>
      </c>
      <c r="I51" s="31">
        <f t="shared" si="0"/>
        <v>9700</v>
      </c>
    </row>
    <row r="52" spans="1:12" s="1" customFormat="1" ht="15" thickBot="1" x14ac:dyDescent="0.4">
      <c r="A52" s="82">
        <v>43</v>
      </c>
      <c r="B52" s="326"/>
      <c r="C52" s="108">
        <v>43371</v>
      </c>
      <c r="D52" s="26">
        <v>830054076</v>
      </c>
      <c r="E52" s="27" t="str">
        <f>VLOOKUP(D52,[1]TERCEROS!$A$2:$C$4000,3,FALSE)</f>
        <v>FIDEICOMISOS SOCIEDAD FIDUCIARIA</v>
      </c>
      <c r="F52" s="28" t="s">
        <v>59</v>
      </c>
      <c r="G52" s="29">
        <v>9700</v>
      </c>
      <c r="H52" s="178">
        <v>0</v>
      </c>
      <c r="I52" s="31">
        <f t="shared" si="0"/>
        <v>9700</v>
      </c>
    </row>
    <row r="53" spans="1:12" s="1" customFormat="1" ht="15" thickBot="1" x14ac:dyDescent="0.4">
      <c r="A53" s="82">
        <v>44</v>
      </c>
      <c r="B53" s="326"/>
      <c r="C53" s="108">
        <v>43372</v>
      </c>
      <c r="D53" s="26">
        <v>830054076</v>
      </c>
      <c r="E53" s="27" t="str">
        <f>VLOOKUP(D53,[1]TERCEROS!$A$2:$C$4000,3,FALSE)</f>
        <v>FIDEICOMISOS SOCIEDAD FIDUCIARIA</v>
      </c>
      <c r="F53" s="28" t="s">
        <v>59</v>
      </c>
      <c r="G53" s="29">
        <v>9700</v>
      </c>
      <c r="H53" s="178">
        <v>0</v>
      </c>
      <c r="I53" s="31">
        <f t="shared" si="0"/>
        <v>9700</v>
      </c>
    </row>
    <row r="54" spans="1:12" s="1" customFormat="1" ht="15" thickBot="1" x14ac:dyDescent="0.4">
      <c r="A54" s="82">
        <v>45</v>
      </c>
      <c r="B54" s="326"/>
      <c r="C54" s="108">
        <v>43372</v>
      </c>
      <c r="D54" s="26">
        <v>830054076</v>
      </c>
      <c r="E54" s="27" t="str">
        <f>VLOOKUP(D54,[1]TERCEROS!$A$2:$C$4000,3,FALSE)</f>
        <v>FIDEICOMISOS SOCIEDAD FIDUCIARIA</v>
      </c>
      <c r="F54" s="28" t="s">
        <v>59</v>
      </c>
      <c r="G54" s="29">
        <v>8400</v>
      </c>
      <c r="H54" s="178">
        <v>0</v>
      </c>
      <c r="I54" s="31">
        <f t="shared" si="0"/>
        <v>8400</v>
      </c>
    </row>
    <row r="55" spans="1:12" s="1" customFormat="1" ht="15" thickBot="1" x14ac:dyDescent="0.4">
      <c r="A55" s="82">
        <v>46</v>
      </c>
      <c r="B55" s="326"/>
      <c r="C55" s="108">
        <v>43371</v>
      </c>
      <c r="D55" s="26">
        <v>830054076</v>
      </c>
      <c r="E55" s="27" t="str">
        <f>VLOOKUP(D55,[1]TERCEROS!$A$2:$C$4000,3,FALSE)</f>
        <v>FIDEICOMISOS SOCIEDAD FIDUCIARIA</v>
      </c>
      <c r="F55" s="28" t="s">
        <v>59</v>
      </c>
      <c r="G55" s="29">
        <v>9700</v>
      </c>
      <c r="H55" s="178">
        <v>0</v>
      </c>
      <c r="I55" s="31">
        <f t="shared" si="0"/>
        <v>9700</v>
      </c>
    </row>
    <row r="56" spans="1:12" s="1" customFormat="1" ht="15" thickBot="1" x14ac:dyDescent="0.4">
      <c r="A56" s="82">
        <v>47</v>
      </c>
      <c r="B56" s="326"/>
      <c r="C56" s="108">
        <v>43371</v>
      </c>
      <c r="D56" s="26">
        <v>830054076</v>
      </c>
      <c r="E56" s="27" t="str">
        <f>VLOOKUP(D56,[1]TERCEROS!$A$2:$C$4000,3,FALSE)</f>
        <v>FIDEICOMISOS SOCIEDAD FIDUCIARIA</v>
      </c>
      <c r="F56" s="28" t="s">
        <v>59</v>
      </c>
      <c r="G56" s="29">
        <v>9700</v>
      </c>
      <c r="H56" s="178">
        <v>0</v>
      </c>
      <c r="I56" s="31">
        <f t="shared" si="0"/>
        <v>9700</v>
      </c>
    </row>
    <row r="57" spans="1:12" s="1" customFormat="1" ht="15" thickBot="1" x14ac:dyDescent="0.4">
      <c r="A57" s="82">
        <v>48</v>
      </c>
      <c r="B57" s="326"/>
      <c r="C57" s="108">
        <v>43365</v>
      </c>
      <c r="D57" s="26">
        <v>830054076</v>
      </c>
      <c r="E57" s="27" t="str">
        <f>VLOOKUP(D57,[1]TERCEROS!$A$2:$C$4000,3,FALSE)</f>
        <v>FIDEICOMISOS SOCIEDAD FIDUCIARIA</v>
      </c>
      <c r="F57" s="28" t="s">
        <v>59</v>
      </c>
      <c r="G57" s="29">
        <v>9700</v>
      </c>
      <c r="H57" s="178">
        <v>0</v>
      </c>
      <c r="I57" s="31">
        <f t="shared" si="0"/>
        <v>9700</v>
      </c>
    </row>
    <row r="58" spans="1:12" s="1" customFormat="1" ht="15" thickBot="1" x14ac:dyDescent="0.4">
      <c r="A58" s="82">
        <v>49</v>
      </c>
      <c r="B58" s="326"/>
      <c r="C58" s="108">
        <v>43373</v>
      </c>
      <c r="D58" s="26">
        <v>830054076</v>
      </c>
      <c r="E58" s="27" t="str">
        <f>VLOOKUP(D58,[1]TERCEROS!$A$2:$C$4000,3,FALSE)</f>
        <v>FIDEICOMISOS SOCIEDAD FIDUCIARIA</v>
      </c>
      <c r="F58" s="28" t="s">
        <v>59</v>
      </c>
      <c r="G58" s="29">
        <v>9700</v>
      </c>
      <c r="H58" s="178">
        <v>0</v>
      </c>
      <c r="I58" s="31">
        <f t="shared" si="0"/>
        <v>9700</v>
      </c>
    </row>
    <row r="59" spans="1:12" s="1" customFormat="1" ht="15" thickBot="1" x14ac:dyDescent="0.4">
      <c r="A59" s="82">
        <v>50</v>
      </c>
      <c r="B59" s="326"/>
      <c r="C59" s="108">
        <v>43374</v>
      </c>
      <c r="D59" s="26">
        <v>830054076</v>
      </c>
      <c r="E59" s="27" t="str">
        <f>VLOOKUP(D59,[1]TERCEROS!$A$2:$C$4000,3,FALSE)</f>
        <v>FIDEICOMISOS SOCIEDAD FIDUCIARIA</v>
      </c>
      <c r="F59" s="28" t="s">
        <v>59</v>
      </c>
      <c r="G59" s="29">
        <v>9700</v>
      </c>
      <c r="H59" s="178">
        <v>0</v>
      </c>
      <c r="I59" s="31">
        <f t="shared" si="0"/>
        <v>9700</v>
      </c>
    </row>
    <row r="60" spans="1:12" s="1" customFormat="1" ht="15" thickBot="1" x14ac:dyDescent="0.4">
      <c r="A60" s="82">
        <v>51</v>
      </c>
      <c r="B60" s="326"/>
      <c r="C60" s="108">
        <v>43372</v>
      </c>
      <c r="D60" s="26">
        <v>52898111</v>
      </c>
      <c r="E60" s="27" t="s">
        <v>358</v>
      </c>
      <c r="F60" s="28" t="s">
        <v>60</v>
      </c>
      <c r="G60" s="29">
        <v>30000</v>
      </c>
      <c r="H60" s="178">
        <v>0</v>
      </c>
      <c r="I60" s="31">
        <f t="shared" si="0"/>
        <v>30000</v>
      </c>
    </row>
    <row r="61" spans="1:12" s="1" customFormat="1" ht="15" thickBot="1" x14ac:dyDescent="0.4">
      <c r="A61" s="82">
        <v>52</v>
      </c>
      <c r="B61" s="326"/>
      <c r="C61" s="108">
        <v>43371</v>
      </c>
      <c r="D61" s="26">
        <v>830054076</v>
      </c>
      <c r="E61" s="27" t="str">
        <f>VLOOKUP(D61,[1]TERCEROS!$A$2:$C$4000,3,FALSE)</f>
        <v>FIDEICOMISOS SOCIEDAD FIDUCIARIA</v>
      </c>
      <c r="F61" s="28" t="s">
        <v>59</v>
      </c>
      <c r="G61" s="29">
        <v>9700</v>
      </c>
      <c r="H61" s="178">
        <v>0</v>
      </c>
      <c r="I61" s="31">
        <f t="shared" si="0"/>
        <v>9700</v>
      </c>
    </row>
    <row r="62" spans="1:12" s="1" customFormat="1" ht="15" thickBot="1" x14ac:dyDescent="0.4">
      <c r="A62" s="82">
        <v>53</v>
      </c>
      <c r="B62" s="326"/>
      <c r="C62" s="108">
        <v>43372</v>
      </c>
      <c r="D62" s="26">
        <v>79461191</v>
      </c>
      <c r="E62" s="27" t="s">
        <v>359</v>
      </c>
      <c r="F62" s="28" t="s">
        <v>360</v>
      </c>
      <c r="G62" s="29">
        <v>8000</v>
      </c>
      <c r="H62" s="178">
        <v>0</v>
      </c>
      <c r="I62" s="31">
        <f t="shared" si="0"/>
        <v>8000</v>
      </c>
    </row>
    <row r="63" spans="1:12" s="1" customFormat="1" ht="15" thickBot="1" x14ac:dyDescent="0.4">
      <c r="A63" s="82">
        <v>54</v>
      </c>
      <c r="B63" s="326"/>
      <c r="C63" s="108">
        <v>43373</v>
      </c>
      <c r="D63" s="26">
        <v>7963738</v>
      </c>
      <c r="E63" s="27" t="s">
        <v>361</v>
      </c>
      <c r="F63" s="28" t="s">
        <v>360</v>
      </c>
      <c r="G63" s="29">
        <v>9000</v>
      </c>
      <c r="H63" s="178">
        <v>0</v>
      </c>
      <c r="I63" s="31">
        <f t="shared" si="0"/>
        <v>9000</v>
      </c>
    </row>
    <row r="64" spans="1:12" s="1" customFormat="1" ht="15" thickBot="1" x14ac:dyDescent="0.4">
      <c r="A64" s="82">
        <v>55</v>
      </c>
      <c r="B64" s="326"/>
      <c r="C64" s="108">
        <v>43371</v>
      </c>
      <c r="D64" s="26">
        <v>800244387</v>
      </c>
      <c r="E64" s="27" t="str">
        <f>VLOOKUP(D64,[1]TERCEROS!$A$2:$C$4000,3,FALSE)</f>
        <v>ARCOS DORADOS COLOMBIA SA</v>
      </c>
      <c r="F64" s="28" t="s">
        <v>297</v>
      </c>
      <c r="G64" s="29">
        <v>17900</v>
      </c>
      <c r="H64" s="178">
        <v>0</v>
      </c>
      <c r="I64" s="31">
        <f t="shared" si="0"/>
        <v>17900</v>
      </c>
    </row>
    <row r="65" spans="1:9" s="1" customFormat="1" ht="15" thickBot="1" x14ac:dyDescent="0.4">
      <c r="A65" s="82">
        <v>56</v>
      </c>
      <c r="B65" s="326"/>
      <c r="C65" s="109">
        <v>43372</v>
      </c>
      <c r="D65" s="110">
        <v>72325031</v>
      </c>
      <c r="E65" s="111" t="s">
        <v>362</v>
      </c>
      <c r="F65" s="112" t="s">
        <v>68</v>
      </c>
      <c r="G65" s="113">
        <v>13500</v>
      </c>
      <c r="H65" s="179">
        <v>0</v>
      </c>
      <c r="I65" s="115">
        <f t="shared" si="0"/>
        <v>13500</v>
      </c>
    </row>
    <row r="66" spans="1:9" s="1" customFormat="1" ht="15" thickBot="1" x14ac:dyDescent="0.4">
      <c r="A66" s="82">
        <v>57</v>
      </c>
      <c r="B66" s="347" t="s">
        <v>365</v>
      </c>
      <c r="C66" s="203">
        <v>43384</v>
      </c>
      <c r="D66" s="120">
        <v>900659252</v>
      </c>
      <c r="E66" s="121" t="s">
        <v>363</v>
      </c>
      <c r="F66" s="122" t="s">
        <v>364</v>
      </c>
      <c r="G66" s="123">
        <v>73940</v>
      </c>
      <c r="H66" s="204">
        <f>+G66*19%</f>
        <v>14048.6</v>
      </c>
      <c r="I66" s="125">
        <f t="shared" si="0"/>
        <v>87988.6</v>
      </c>
    </row>
    <row r="67" spans="1:9" s="1" customFormat="1" ht="15" thickBot="1" x14ac:dyDescent="0.4">
      <c r="A67" s="82">
        <v>58</v>
      </c>
      <c r="B67" s="326"/>
      <c r="C67" s="132">
        <v>43378</v>
      </c>
      <c r="D67" s="91">
        <v>800097424</v>
      </c>
      <c r="E67" s="92" t="str">
        <f>VLOOKUP(D67,[1]TERCEROS!$A$2:$C$4000,3,FALSE)</f>
        <v>DISTRIBUIDORA LA PUNTA LTDA</v>
      </c>
      <c r="F67" s="86" t="s">
        <v>366</v>
      </c>
      <c r="G67" s="87">
        <v>34858</v>
      </c>
      <c r="H67" s="180">
        <f>+G67*19%</f>
        <v>6623.02</v>
      </c>
      <c r="I67" s="89">
        <f t="shared" si="0"/>
        <v>41481.020000000004</v>
      </c>
    </row>
    <row r="68" spans="1:9" s="1" customFormat="1" ht="24.5" thickBot="1" x14ac:dyDescent="0.4">
      <c r="A68" s="82">
        <v>59</v>
      </c>
      <c r="B68" s="340" t="s">
        <v>368</v>
      </c>
      <c r="C68" s="107">
        <v>43392</v>
      </c>
      <c r="D68" s="17">
        <v>800097424</v>
      </c>
      <c r="E68" s="18" t="str">
        <f>VLOOKUP(D68,[1]TERCEROS!$A$2:$C$4000,3,FALSE)</f>
        <v>DISTRIBUIDORA LA PUNTA LTDA</v>
      </c>
      <c r="F68" s="19" t="s">
        <v>367</v>
      </c>
      <c r="G68" s="20">
        <v>96718</v>
      </c>
      <c r="H68" s="177">
        <f>+G68*19%</f>
        <v>18376.420000000002</v>
      </c>
      <c r="I68" s="22">
        <f t="shared" si="0"/>
        <v>115094.42</v>
      </c>
    </row>
    <row r="69" spans="1:9" s="1" customFormat="1" ht="15" thickBot="1" x14ac:dyDescent="0.4">
      <c r="A69" s="82">
        <v>60</v>
      </c>
      <c r="B69" s="341"/>
      <c r="C69" s="132">
        <v>43368</v>
      </c>
      <c r="D69" s="91">
        <v>860528396</v>
      </c>
      <c r="E69" s="92" t="str">
        <f>VLOOKUP(D69,[1]TERCEROS!$A$2:$C$4000,3,FALSE)</f>
        <v>COMERCIAL PAPELERA LTDA</v>
      </c>
      <c r="F69" s="86" t="s">
        <v>190</v>
      </c>
      <c r="G69" s="87">
        <v>57999</v>
      </c>
      <c r="H69" s="202">
        <f>+G69*19%</f>
        <v>11019.81</v>
      </c>
      <c r="I69" s="89">
        <f t="shared" si="0"/>
        <v>69018.81</v>
      </c>
    </row>
    <row r="70" spans="1:9" s="1" customFormat="1" ht="15" thickBot="1" x14ac:dyDescent="0.4">
      <c r="A70" s="82">
        <v>61</v>
      </c>
      <c r="B70" s="347" t="s">
        <v>32</v>
      </c>
      <c r="C70" s="107">
        <v>43391</v>
      </c>
      <c r="D70" s="17">
        <v>162877</v>
      </c>
      <c r="E70" s="18" t="s">
        <v>373</v>
      </c>
      <c r="F70" s="19" t="s">
        <v>35</v>
      </c>
      <c r="G70" s="20">
        <v>4650</v>
      </c>
      <c r="H70" s="177">
        <v>0</v>
      </c>
      <c r="I70" s="22">
        <f t="shared" si="0"/>
        <v>4650</v>
      </c>
    </row>
    <row r="71" spans="1:9" s="1" customFormat="1" ht="15" thickBot="1" x14ac:dyDescent="0.4">
      <c r="A71" s="82">
        <v>62</v>
      </c>
      <c r="B71" s="326"/>
      <c r="C71" s="108">
        <v>43389</v>
      </c>
      <c r="D71" s="26">
        <v>860090527</v>
      </c>
      <c r="E71" s="27" t="s">
        <v>374</v>
      </c>
      <c r="F71" s="28" t="s">
        <v>35</v>
      </c>
      <c r="G71" s="29">
        <v>3151</v>
      </c>
      <c r="H71" s="178">
        <f>+G71*19%</f>
        <v>598.69000000000005</v>
      </c>
      <c r="I71" s="31">
        <f t="shared" si="0"/>
        <v>3749.69</v>
      </c>
    </row>
    <row r="72" spans="1:9" s="1" customFormat="1" ht="15" thickBot="1" x14ac:dyDescent="0.4">
      <c r="A72" s="82">
        <v>63</v>
      </c>
      <c r="B72" s="326"/>
      <c r="C72" s="108">
        <v>43385</v>
      </c>
      <c r="D72" s="26">
        <v>222222222</v>
      </c>
      <c r="E72" s="27" t="str">
        <f>VLOOKUP(D72,[1]TERCEROS!$A$2:$C$4000,3,FALSE)</f>
        <v>CUANTIAS MINIMAS</v>
      </c>
      <c r="F72" s="28" t="s">
        <v>375</v>
      </c>
      <c r="G72" s="29">
        <v>12000</v>
      </c>
      <c r="H72" s="178">
        <v>0</v>
      </c>
      <c r="I72" s="31">
        <f t="shared" si="0"/>
        <v>12000</v>
      </c>
    </row>
    <row r="73" spans="1:9" s="1" customFormat="1" ht="15" thickBot="1" x14ac:dyDescent="0.4">
      <c r="A73" s="82">
        <v>64</v>
      </c>
      <c r="B73" s="326"/>
      <c r="C73" s="108">
        <v>43391</v>
      </c>
      <c r="D73" s="26">
        <v>830050619</v>
      </c>
      <c r="E73" s="27" t="str">
        <f>VLOOKUP(D73,[1]TERCEROS!$A$2:$C$4000,3,FALSE)</f>
        <v>CITY PARKING S.A</v>
      </c>
      <c r="F73" s="28" t="s">
        <v>35</v>
      </c>
      <c r="G73" s="29">
        <v>1800</v>
      </c>
      <c r="H73" s="178"/>
      <c r="I73" s="31">
        <f t="shared" si="0"/>
        <v>1800</v>
      </c>
    </row>
    <row r="74" spans="1:9" s="1" customFormat="1" ht="15" thickBot="1" x14ac:dyDescent="0.4">
      <c r="A74" s="82">
        <v>65</v>
      </c>
      <c r="B74" s="326"/>
      <c r="C74" s="108">
        <v>43391</v>
      </c>
      <c r="D74" s="26">
        <v>900050514</v>
      </c>
      <c r="E74" s="27" t="s">
        <v>376</v>
      </c>
      <c r="F74" s="28" t="s">
        <v>35</v>
      </c>
      <c r="G74" s="29">
        <f>+I74-H74</f>
        <v>1345</v>
      </c>
      <c r="H74" s="178">
        <v>263</v>
      </c>
      <c r="I74" s="31">
        <v>1608</v>
      </c>
    </row>
    <row r="75" spans="1:9" s="1" customFormat="1" ht="15" thickBot="1" x14ac:dyDescent="0.4">
      <c r="A75" s="82">
        <v>66</v>
      </c>
      <c r="B75" s="326"/>
      <c r="C75" s="108">
        <v>43392</v>
      </c>
      <c r="D75" s="26">
        <v>860532221</v>
      </c>
      <c r="E75" s="27" t="s">
        <v>377</v>
      </c>
      <c r="F75" s="28" t="s">
        <v>378</v>
      </c>
      <c r="G75" s="29">
        <v>106700</v>
      </c>
      <c r="H75" s="178"/>
      <c r="I75" s="31">
        <f t="shared" si="0"/>
        <v>106700</v>
      </c>
    </row>
    <row r="76" spans="1:9" s="1" customFormat="1" ht="15" thickBot="1" x14ac:dyDescent="0.4">
      <c r="A76" s="82">
        <v>67</v>
      </c>
      <c r="B76" s="326"/>
      <c r="C76" s="108">
        <v>43392</v>
      </c>
      <c r="D76" s="26">
        <v>222222222</v>
      </c>
      <c r="F76" s="28" t="s">
        <v>378</v>
      </c>
      <c r="G76" s="29">
        <v>27800</v>
      </c>
      <c r="H76" s="178"/>
      <c r="I76" s="31">
        <f t="shared" si="0"/>
        <v>27800</v>
      </c>
    </row>
    <row r="77" spans="1:9" s="1" customFormat="1" ht="15" thickBot="1" x14ac:dyDescent="0.4">
      <c r="A77" s="82">
        <v>68</v>
      </c>
      <c r="B77" s="348"/>
      <c r="C77" s="132">
        <v>43390</v>
      </c>
      <c r="D77" s="91">
        <v>12254707</v>
      </c>
      <c r="E77" s="92" t="s">
        <v>146</v>
      </c>
      <c r="F77" s="86" t="s">
        <v>147</v>
      </c>
      <c r="G77" s="87">
        <v>97700</v>
      </c>
      <c r="H77" s="180"/>
      <c r="I77" s="89">
        <f t="shared" si="0"/>
        <v>97700</v>
      </c>
    </row>
    <row r="78" spans="1:9" s="1" customFormat="1" ht="15" thickBot="1" x14ac:dyDescent="0.4">
      <c r="A78" s="82">
        <v>69</v>
      </c>
      <c r="B78" s="340" t="s">
        <v>300</v>
      </c>
      <c r="C78" s="107">
        <v>43390</v>
      </c>
      <c r="D78" s="17">
        <v>22222222</v>
      </c>
      <c r="E78" s="18" t="s">
        <v>380</v>
      </c>
      <c r="F78" s="19" t="s">
        <v>381</v>
      </c>
      <c r="G78" s="20">
        <v>584000</v>
      </c>
      <c r="H78" s="177"/>
      <c r="I78" s="22">
        <f t="shared" si="0"/>
        <v>584000</v>
      </c>
    </row>
    <row r="79" spans="1:9" s="1" customFormat="1" ht="15" thickBot="1" x14ac:dyDescent="0.4">
      <c r="A79" s="82">
        <v>70</v>
      </c>
      <c r="B79" s="341"/>
      <c r="C79" s="108">
        <v>43390</v>
      </c>
      <c r="D79" s="26">
        <v>830054076</v>
      </c>
      <c r="E79" s="27" t="str">
        <f>VLOOKUP(D79,[1]TERCEROS!$A$2:$C$4000,3,FALSE)</f>
        <v>FIDEICOMISOS SOCIEDAD FIDUCIARIA</v>
      </c>
      <c r="F79" s="28" t="s">
        <v>59</v>
      </c>
      <c r="G79" s="29">
        <v>9700</v>
      </c>
      <c r="H79" s="178"/>
      <c r="I79" s="31">
        <f t="shared" si="0"/>
        <v>9700</v>
      </c>
    </row>
    <row r="80" spans="1:9" s="1" customFormat="1" ht="15" thickBot="1" x14ac:dyDescent="0.4">
      <c r="A80" s="82">
        <v>71</v>
      </c>
      <c r="B80" s="346"/>
      <c r="C80" s="108">
        <v>43390</v>
      </c>
      <c r="D80" s="26">
        <v>12144105</v>
      </c>
      <c r="E80" s="27" t="str">
        <f>VLOOKUP(D80,[1]TERCEROS!$A$2:$C$4000,3,FALSE)</f>
        <v>VILLA JAVIER JIMENEZ</v>
      </c>
      <c r="F80" s="28" t="s">
        <v>48</v>
      </c>
      <c r="G80" s="29">
        <v>10000</v>
      </c>
      <c r="H80" s="178"/>
      <c r="I80" s="31">
        <f t="shared" si="0"/>
        <v>10000</v>
      </c>
    </row>
    <row r="81" spans="1:37" s="1" customFormat="1" ht="15" thickBot="1" x14ac:dyDescent="0.4">
      <c r="A81" s="82">
        <v>72</v>
      </c>
      <c r="B81" s="326" t="s">
        <v>369</v>
      </c>
      <c r="C81" s="109">
        <v>43382</v>
      </c>
      <c r="D81" s="110">
        <v>811012912</v>
      </c>
      <c r="E81" s="111" t="s">
        <v>370</v>
      </c>
      <c r="F81" s="112" t="s">
        <v>371</v>
      </c>
      <c r="G81" s="113">
        <v>52690</v>
      </c>
      <c r="H81" s="179">
        <v>0</v>
      </c>
      <c r="I81" s="115">
        <f>IF($K$14=1,G81+H81,G81*H81)</f>
        <v>52690</v>
      </c>
    </row>
    <row r="82" spans="1:37" s="1" customFormat="1" ht="14.5" x14ac:dyDescent="0.35">
      <c r="A82" s="82">
        <v>73</v>
      </c>
      <c r="B82" s="326"/>
      <c r="C82" s="203">
        <v>43375</v>
      </c>
      <c r="D82" s="120">
        <v>17146359</v>
      </c>
      <c r="E82" s="121" t="str">
        <f>VLOOKUP(D82,[1]TERCEROS!$A$2:$C$4000,3,FALSE)</f>
        <v>CARLOS ALBERTO HUERTAS</v>
      </c>
      <c r="F82" s="122" t="s">
        <v>372</v>
      </c>
      <c r="G82" s="123">
        <v>200257</v>
      </c>
      <c r="H82" s="204">
        <v>0</v>
      </c>
      <c r="I82" s="125">
        <f t="shared" si="0"/>
        <v>200257</v>
      </c>
    </row>
    <row r="83" spans="1:37" s="2" customFormat="1" ht="15.75" customHeight="1" thickBot="1" x14ac:dyDescent="0.4">
      <c r="A83" s="335" t="s">
        <v>310</v>
      </c>
      <c r="B83" s="329"/>
      <c r="C83" s="329"/>
      <c r="D83" s="329"/>
      <c r="E83" s="330"/>
      <c r="F83" s="93" t="s">
        <v>24</v>
      </c>
      <c r="G83" s="94">
        <f>SUM(G10:G82)</f>
        <v>2879876</v>
      </c>
      <c r="H83" s="94">
        <f>SUM(H10:H82)</f>
        <v>70904.05</v>
      </c>
      <c r="I83" s="94">
        <f>SUM(I10:I82)</f>
        <v>2950780.0500000003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s="2" customFormat="1" ht="15" customHeight="1" x14ac:dyDescent="0.35">
      <c r="A84" s="300" t="s">
        <v>26</v>
      </c>
      <c r="B84" s="301"/>
      <c r="C84" s="301"/>
      <c r="D84" s="306" t="s">
        <v>58</v>
      </c>
      <c r="E84" s="307"/>
      <c r="F84" s="312"/>
      <c r="G84" s="315" t="s">
        <v>16</v>
      </c>
      <c r="H84" s="316"/>
      <c r="I84" s="35">
        <v>3000000</v>
      </c>
      <c r="J84" s="1"/>
      <c r="K84" s="1"/>
      <c r="L84" s="1"/>
      <c r="M84" s="2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s="2" customFormat="1" ht="15" customHeight="1" x14ac:dyDescent="0.35">
      <c r="A85" s="302"/>
      <c r="B85" s="303"/>
      <c r="C85" s="303"/>
      <c r="D85" s="308"/>
      <c r="E85" s="309"/>
      <c r="F85" s="313"/>
      <c r="G85" s="317" t="s">
        <v>17</v>
      </c>
      <c r="H85" s="318"/>
      <c r="I85" s="36">
        <f>+I84-I83</f>
        <v>49219.949999999721</v>
      </c>
      <c r="J85" s="1"/>
      <c r="K85" s="1"/>
      <c r="L85" s="1"/>
      <c r="M85" s="2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s="1" customFormat="1" ht="15.75" customHeight="1" thickBot="1" x14ac:dyDescent="0.4">
      <c r="A86" s="304"/>
      <c r="B86" s="305"/>
      <c r="C86" s="305"/>
      <c r="D86" s="310"/>
      <c r="E86" s="311"/>
      <c r="F86" s="314"/>
      <c r="G86" s="289" t="s">
        <v>5</v>
      </c>
      <c r="H86" s="290"/>
      <c r="I86" s="37">
        <f>+I84-I85</f>
        <v>2950780.0500000003</v>
      </c>
    </row>
    <row r="87" spans="1:37" s="1" customFormat="1" ht="15" thickBot="1" x14ac:dyDescent="0.4">
      <c r="A87" s="291" t="s">
        <v>25</v>
      </c>
      <c r="B87" s="292"/>
      <c r="C87" s="292"/>
      <c r="D87" s="293"/>
      <c r="E87" s="38"/>
      <c r="F87" s="38"/>
      <c r="G87" s="38"/>
      <c r="H87" s="38"/>
      <c r="I87" s="39"/>
    </row>
    <row r="88" spans="1:37" s="1" customFormat="1" ht="15" thickBot="1" x14ac:dyDescent="0.4">
      <c r="A88" s="40"/>
      <c r="B88" s="41" t="s">
        <v>6</v>
      </c>
      <c r="C88" s="42">
        <f>D104</f>
        <v>13300</v>
      </c>
      <c r="D88" s="39"/>
      <c r="E88" s="43">
        <f>C88+C91+I83</f>
        <v>3000030.0500000003</v>
      </c>
      <c r="F88" s="43"/>
      <c r="G88" s="38"/>
      <c r="H88" s="38"/>
      <c r="I88" s="44"/>
    </row>
    <row r="89" spans="1:37" s="1" customFormat="1" ht="15" thickBot="1" x14ac:dyDescent="0.4">
      <c r="A89" s="40"/>
      <c r="B89" s="41"/>
      <c r="C89" s="45"/>
      <c r="D89" s="39"/>
      <c r="E89" s="43">
        <f>+E88-I84</f>
        <v>30.050000000279397</v>
      </c>
      <c r="F89" s="38"/>
      <c r="G89" s="38"/>
      <c r="H89" s="38"/>
      <c r="I89" s="39"/>
    </row>
    <row r="90" spans="1:37" s="1" customFormat="1" ht="15" thickBot="1" x14ac:dyDescent="0.4">
      <c r="A90" s="40"/>
      <c r="B90" s="46" t="s">
        <v>379</v>
      </c>
      <c r="C90" s="45">
        <v>35950</v>
      </c>
      <c r="D90" s="39"/>
      <c r="E90" s="43"/>
      <c r="F90" s="38"/>
      <c r="G90" s="38"/>
      <c r="H90" s="38"/>
      <c r="I90" s="39"/>
    </row>
    <row r="91" spans="1:37" s="1" customFormat="1" ht="15" thickBot="1" x14ac:dyDescent="0.4">
      <c r="A91" s="40"/>
      <c r="B91" s="47" t="s">
        <v>7</v>
      </c>
      <c r="C91" s="45">
        <f>SUM(C89:C90)</f>
        <v>35950</v>
      </c>
      <c r="D91" s="39"/>
      <c r="E91" s="48"/>
      <c r="F91" s="48"/>
      <c r="G91" s="48"/>
      <c r="H91" s="48"/>
      <c r="I91" s="49"/>
    </row>
    <row r="92" spans="1:37" s="1" customFormat="1" ht="15" thickBot="1" x14ac:dyDescent="0.4">
      <c r="A92" s="40"/>
      <c r="B92" s="50"/>
      <c r="C92" s="51"/>
      <c r="D92" s="39"/>
      <c r="E92" s="48"/>
      <c r="F92" s="48"/>
      <c r="G92" s="48"/>
      <c r="H92" s="48"/>
      <c r="I92" s="49"/>
    </row>
    <row r="93" spans="1:37" s="1" customFormat="1" ht="15" thickBot="1" x14ac:dyDescent="0.4">
      <c r="A93" s="40"/>
      <c r="B93" s="52"/>
      <c r="C93" s="53" t="s">
        <v>11</v>
      </c>
      <c r="D93" s="54" t="s">
        <v>4</v>
      </c>
      <c r="E93" s="38"/>
      <c r="F93" s="55"/>
      <c r="G93" s="38"/>
      <c r="H93" s="38"/>
      <c r="I93" s="39"/>
    </row>
    <row r="94" spans="1:37" s="1" customFormat="1" ht="14.5" x14ac:dyDescent="0.35">
      <c r="A94" s="40"/>
      <c r="B94" s="56"/>
      <c r="C94" s="57">
        <v>50000</v>
      </c>
      <c r="D94" s="58">
        <f t="shared" ref="D94:D103" si="1">+C94*B94</f>
        <v>0</v>
      </c>
      <c r="E94" s="207" t="s">
        <v>29</v>
      </c>
      <c r="F94" s="60" t="s">
        <v>27</v>
      </c>
      <c r="G94" s="294" t="s">
        <v>28</v>
      </c>
      <c r="H94" s="294"/>
      <c r="I94" s="295"/>
    </row>
    <row r="95" spans="1:37" s="5" customFormat="1" ht="15" customHeight="1" x14ac:dyDescent="0.35">
      <c r="A95" s="40"/>
      <c r="B95" s="62"/>
      <c r="C95" s="63">
        <v>20000</v>
      </c>
      <c r="D95" s="58">
        <f t="shared" si="1"/>
        <v>0</v>
      </c>
      <c r="E95" s="205" t="s">
        <v>19</v>
      </c>
      <c r="F95" s="205" t="s">
        <v>20</v>
      </c>
      <c r="G95" s="296" t="s">
        <v>21</v>
      </c>
      <c r="H95" s="296"/>
      <c r="I95" s="29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s="5" customFormat="1" ht="15" customHeight="1" x14ac:dyDescent="0.35">
      <c r="A96" s="40"/>
      <c r="B96" s="62">
        <v>1</v>
      </c>
      <c r="C96" s="63">
        <v>10000</v>
      </c>
      <c r="D96" s="58">
        <f t="shared" si="1"/>
        <v>10000</v>
      </c>
      <c r="E96" s="206" t="s">
        <v>79</v>
      </c>
      <c r="F96" s="206" t="s">
        <v>80</v>
      </c>
      <c r="G96" s="298" t="s">
        <v>81</v>
      </c>
      <c r="H96" s="298"/>
      <c r="I96" s="29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s="5" customFormat="1" ht="15" customHeight="1" x14ac:dyDescent="0.35">
      <c r="A97" s="40"/>
      <c r="B97" s="62"/>
      <c r="C97" s="63">
        <v>5000</v>
      </c>
      <c r="D97" s="58">
        <f t="shared" si="1"/>
        <v>0</v>
      </c>
      <c r="E97" s="38" t="s">
        <v>0</v>
      </c>
      <c r="F97" s="38"/>
      <c r="G97" s="38"/>
      <c r="H97" s="38"/>
      <c r="I97" s="3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s="5" customFormat="1" ht="15" customHeight="1" x14ac:dyDescent="0.35">
      <c r="A98" s="40"/>
      <c r="B98" s="62"/>
      <c r="C98" s="63">
        <v>2000</v>
      </c>
      <c r="D98" s="58">
        <f t="shared" si="1"/>
        <v>0</v>
      </c>
      <c r="E98" s="38"/>
      <c r="F98" s="38" t="s">
        <v>8</v>
      </c>
      <c r="G98" s="38"/>
      <c r="H98" s="38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s="5" customFormat="1" ht="15" customHeight="1" x14ac:dyDescent="0.35">
      <c r="A99" s="40"/>
      <c r="B99" s="62">
        <v>1</v>
      </c>
      <c r="C99" s="63">
        <v>1000</v>
      </c>
      <c r="D99" s="58">
        <f t="shared" si="1"/>
        <v>1000</v>
      </c>
      <c r="E99" s="38"/>
      <c r="F99" s="38"/>
      <c r="G99" s="38"/>
      <c r="H99" s="38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s="1" customFormat="1" ht="15" customHeight="1" x14ac:dyDescent="0.35">
      <c r="A100" s="40"/>
      <c r="B100" s="62">
        <v>2</v>
      </c>
      <c r="C100" s="63">
        <v>500</v>
      </c>
      <c r="D100" s="58">
        <f t="shared" si="1"/>
        <v>1000</v>
      </c>
      <c r="E100" s="38"/>
      <c r="F100" s="38"/>
      <c r="G100" s="38"/>
      <c r="H100" s="38"/>
      <c r="I100" s="39"/>
    </row>
    <row r="101" spans="1:37" s="1" customFormat="1" ht="15" customHeight="1" x14ac:dyDescent="0.35">
      <c r="A101" s="40"/>
      <c r="B101" s="62">
        <v>5</v>
      </c>
      <c r="C101" s="63">
        <v>200</v>
      </c>
      <c r="D101" s="58">
        <f t="shared" si="1"/>
        <v>1000</v>
      </c>
      <c r="E101" s="38"/>
      <c r="F101" s="38"/>
      <c r="G101" s="38"/>
      <c r="H101" s="38"/>
      <c r="I101" s="39"/>
    </row>
    <row r="102" spans="1:37" s="1" customFormat="1" ht="15" customHeight="1" x14ac:dyDescent="0.35">
      <c r="A102" s="40"/>
      <c r="B102" s="62">
        <v>3</v>
      </c>
      <c r="C102" s="63">
        <v>100</v>
      </c>
      <c r="D102" s="58">
        <f>+C102*B102</f>
        <v>300</v>
      </c>
      <c r="E102" s="38"/>
      <c r="F102" s="38"/>
      <c r="G102" s="38"/>
      <c r="H102" s="38"/>
      <c r="I102" s="39"/>
    </row>
    <row r="103" spans="1:37" s="5" customFormat="1" ht="15" customHeight="1" thickBot="1" x14ac:dyDescent="0.4">
      <c r="A103" s="40"/>
      <c r="B103" s="68"/>
      <c r="C103" s="69">
        <v>50</v>
      </c>
      <c r="D103" s="58">
        <f t="shared" si="1"/>
        <v>0</v>
      </c>
      <c r="E103" s="38"/>
      <c r="F103" s="38"/>
      <c r="G103" s="38"/>
      <c r="H103" s="38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1" customFormat="1" ht="15" customHeight="1" thickBot="1" x14ac:dyDescent="0.4">
      <c r="A104" s="40"/>
      <c r="B104" s="207"/>
      <c r="C104" s="70"/>
      <c r="D104" s="71">
        <f>SUM(D94:D103)</f>
        <v>13300</v>
      </c>
      <c r="E104" s="38"/>
      <c r="F104" s="38"/>
      <c r="G104" s="38"/>
      <c r="H104" s="38"/>
      <c r="I104" s="39"/>
    </row>
    <row r="105" spans="1:37" s="5" customFormat="1" ht="15" customHeight="1" thickBot="1" x14ac:dyDescent="0.4">
      <c r="A105" s="72"/>
      <c r="B105" s="73"/>
      <c r="C105" s="74"/>
      <c r="D105" s="75"/>
      <c r="E105" s="76"/>
      <c r="F105" s="76"/>
      <c r="G105" s="76"/>
      <c r="H105" s="76"/>
      <c r="I105" s="7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s="5" customFormat="1" ht="22.5" customHeight="1" x14ac:dyDescent="0.35">
      <c r="A106" s="1"/>
      <c r="B106"/>
      <c r="C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s="3" customFormat="1" ht="22.5" customHeight="1" x14ac:dyDescent="0.35">
      <c r="A107"/>
      <c r="B107"/>
      <c r="C107" s="6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 s="3" customFormat="1" ht="22.5" customHeight="1" x14ac:dyDescent="0.35">
      <c r="A108"/>
      <c r="B108"/>
      <c r="C108" s="6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 s="3" customFormat="1" ht="22.5" customHeight="1" x14ac:dyDescent="0.35">
      <c r="A109"/>
      <c r="B109"/>
      <c r="C109" s="6"/>
      <c r="D109" s="7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</sheetData>
  <mergeCells count="29">
    <mergeCell ref="A7:B7"/>
    <mergeCell ref="C7:I7"/>
    <mergeCell ref="A8:I8"/>
    <mergeCell ref="A1:B6"/>
    <mergeCell ref="C1:F3"/>
    <mergeCell ref="G1:I2"/>
    <mergeCell ref="G3:I4"/>
    <mergeCell ref="C4:F6"/>
    <mergeCell ref="G5:I6"/>
    <mergeCell ref="B10:B31"/>
    <mergeCell ref="B33:B40"/>
    <mergeCell ref="B41:B44"/>
    <mergeCell ref="A84:C86"/>
    <mergeCell ref="D84:E86"/>
    <mergeCell ref="A83:E83"/>
    <mergeCell ref="B45:B65"/>
    <mergeCell ref="B66:B67"/>
    <mergeCell ref="B78:B80"/>
    <mergeCell ref="B68:B69"/>
    <mergeCell ref="B70:B77"/>
    <mergeCell ref="B81:B82"/>
    <mergeCell ref="A87:D87"/>
    <mergeCell ref="G94:I94"/>
    <mergeCell ref="G95:I95"/>
    <mergeCell ref="G96:I96"/>
    <mergeCell ref="F84:F86"/>
    <mergeCell ref="G84:H84"/>
    <mergeCell ref="G85:H85"/>
    <mergeCell ref="G86:H86"/>
  </mergeCells>
  <pageMargins left="0.7" right="0.7" top="0.75" bottom="0.75" header="0.3" footer="0.3"/>
  <pageSetup scale="4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04"/>
  <sheetViews>
    <sheetView showGridLines="0" topLeftCell="A70" workbookViewId="0">
      <selection activeCell="D79" sqref="D79:E81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43404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23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23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43399</v>
      </c>
      <c r="D10" s="17">
        <v>900515214</v>
      </c>
      <c r="E10" s="18" t="str">
        <f>VLOOKUP(D10,[1]TERCEROS!$A$2:$C$4000,3,FALSE)</f>
        <v>SPORTING COLOMBIA SAS</v>
      </c>
      <c r="F10" s="19" t="s">
        <v>382</v>
      </c>
      <c r="G10" s="20">
        <v>68600</v>
      </c>
      <c r="H10" s="177">
        <f>+G10*19%</f>
        <v>13034</v>
      </c>
      <c r="I10" s="230">
        <f>IF($K$14=1,G10+H10,G10*H10)</f>
        <v>81634</v>
      </c>
    </row>
    <row r="11" spans="1:12" s="1" customFormat="1" ht="15" thickBot="1" x14ac:dyDescent="0.4">
      <c r="A11" s="82">
        <v>2</v>
      </c>
      <c r="B11" s="326" t="s">
        <v>396</v>
      </c>
      <c r="C11" s="108">
        <v>43390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231">
        <f>IF($K$14=1,G11+H11,G11*H11)</f>
        <v>9700</v>
      </c>
    </row>
    <row r="12" spans="1:12" s="1" customFormat="1" ht="15" thickBot="1" x14ac:dyDescent="0.4">
      <c r="A12" s="82">
        <v>3</v>
      </c>
      <c r="B12" s="326"/>
      <c r="C12" s="108">
        <v>43399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231">
        <f t="shared" ref="I12:I73" si="0">IF($K$14=1,G12+H12,G12*H12)</f>
        <v>9700</v>
      </c>
    </row>
    <row r="13" spans="1:12" s="1" customFormat="1" ht="15" thickBot="1" x14ac:dyDescent="0.4">
      <c r="A13" s="82">
        <v>4</v>
      </c>
      <c r="B13" s="326"/>
      <c r="C13" s="108">
        <v>43399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231">
        <f t="shared" si="0"/>
        <v>9700</v>
      </c>
    </row>
    <row r="14" spans="1:12" s="1" customFormat="1" ht="15" thickBot="1" x14ac:dyDescent="0.4">
      <c r="A14" s="82">
        <v>5</v>
      </c>
      <c r="B14" s="326"/>
      <c r="C14" s="108">
        <v>43402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26"/>
      <c r="C15" s="108">
        <v>43390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231">
        <f t="shared" si="0"/>
        <v>9700</v>
      </c>
    </row>
    <row r="16" spans="1:12" s="1" customFormat="1" ht="15" thickBot="1" x14ac:dyDescent="0.4">
      <c r="A16" s="82">
        <v>7</v>
      </c>
      <c r="B16" s="326"/>
      <c r="C16" s="108">
        <v>43397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231">
        <f t="shared" si="0"/>
        <v>9700</v>
      </c>
    </row>
    <row r="17" spans="1:9" s="1" customFormat="1" ht="15" thickBot="1" x14ac:dyDescent="0.4">
      <c r="A17" s="82">
        <v>8</v>
      </c>
      <c r="B17" s="326"/>
      <c r="C17" s="108">
        <v>43402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231">
        <f t="shared" si="0"/>
        <v>9700</v>
      </c>
    </row>
    <row r="18" spans="1:9" s="1" customFormat="1" ht="15" thickBot="1" x14ac:dyDescent="0.4">
      <c r="A18" s="82">
        <v>9</v>
      </c>
      <c r="B18" s="326"/>
      <c r="C18" s="108">
        <v>43397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178">
        <v>0</v>
      </c>
      <c r="I18" s="231">
        <f t="shared" si="0"/>
        <v>9700</v>
      </c>
    </row>
    <row r="19" spans="1:9" s="1" customFormat="1" ht="15" thickBot="1" x14ac:dyDescent="0.4">
      <c r="A19" s="82">
        <v>10</v>
      </c>
      <c r="B19" s="326"/>
      <c r="C19" s="108">
        <v>43400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231">
        <f t="shared" si="0"/>
        <v>9700</v>
      </c>
    </row>
    <row r="20" spans="1:9" s="1" customFormat="1" ht="15" thickBot="1" x14ac:dyDescent="0.4">
      <c r="A20" s="82">
        <v>11</v>
      </c>
      <c r="B20" s="326"/>
      <c r="C20" s="108">
        <v>43400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231">
        <f t="shared" si="0"/>
        <v>9700</v>
      </c>
    </row>
    <row r="21" spans="1:9" s="1" customFormat="1" ht="15" thickBot="1" x14ac:dyDescent="0.4">
      <c r="A21" s="82">
        <v>12</v>
      </c>
      <c r="B21" s="326"/>
      <c r="C21" s="108">
        <v>43391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178">
        <v>0</v>
      </c>
      <c r="I21" s="231">
        <f t="shared" si="0"/>
        <v>9700</v>
      </c>
    </row>
    <row r="22" spans="1:9" s="1" customFormat="1" ht="15" thickBot="1" x14ac:dyDescent="0.4">
      <c r="A22" s="82">
        <v>13</v>
      </c>
      <c r="B22" s="326"/>
      <c r="C22" s="108">
        <v>43395</v>
      </c>
      <c r="D22" s="26">
        <v>830054076</v>
      </c>
      <c r="E22" s="27" t="str">
        <f>VLOOKUP(D22,[1]TERCEROS!$A$2:$C$4000,3,FALSE)</f>
        <v>FIDEICOMISOS SOCIEDAD FIDUCIARIA</v>
      </c>
      <c r="F22" s="28" t="s">
        <v>59</v>
      </c>
      <c r="G22" s="29">
        <v>9700</v>
      </c>
      <c r="H22" s="178">
        <v>0</v>
      </c>
      <c r="I22" s="231">
        <f t="shared" si="0"/>
        <v>9700</v>
      </c>
    </row>
    <row r="23" spans="1:9" s="1" customFormat="1" ht="15" thickBot="1" x14ac:dyDescent="0.4">
      <c r="A23" s="82">
        <v>14</v>
      </c>
      <c r="B23" s="326"/>
      <c r="C23" s="108">
        <v>43389</v>
      </c>
      <c r="D23" s="26">
        <v>830054076</v>
      </c>
      <c r="E23" s="27" t="str">
        <f>VLOOKUP(D23,[1]TERCEROS!$A$2:$C$4000,3,FALSE)</f>
        <v>FIDEICOMISOS SOCIEDAD FIDUCIARIA</v>
      </c>
      <c r="F23" s="28" t="s">
        <v>59</v>
      </c>
      <c r="G23" s="29">
        <v>9700</v>
      </c>
      <c r="H23" s="178">
        <v>0</v>
      </c>
      <c r="I23" s="231">
        <f t="shared" si="0"/>
        <v>9700</v>
      </c>
    </row>
    <row r="24" spans="1:9" s="1" customFormat="1" ht="15" thickBot="1" x14ac:dyDescent="0.4">
      <c r="A24" s="82">
        <v>15</v>
      </c>
      <c r="B24" s="326"/>
      <c r="C24" s="108">
        <v>43395</v>
      </c>
      <c r="D24" s="26">
        <v>830054076</v>
      </c>
      <c r="E24" s="27" t="str">
        <f>VLOOKUP(D24,[1]TERCEROS!$A$2:$C$4000,3,FALSE)</f>
        <v>FIDEICOMISOS SOCIEDAD FIDUCIARIA</v>
      </c>
      <c r="F24" s="28" t="s">
        <v>59</v>
      </c>
      <c r="G24" s="29">
        <v>9700</v>
      </c>
      <c r="H24" s="178">
        <v>0</v>
      </c>
      <c r="I24" s="231">
        <f t="shared" si="0"/>
        <v>9700</v>
      </c>
    </row>
    <row r="25" spans="1:9" s="1" customFormat="1" ht="15" thickBot="1" x14ac:dyDescent="0.4">
      <c r="A25" s="82">
        <v>16</v>
      </c>
      <c r="B25" s="326"/>
      <c r="C25" s="108">
        <v>43391</v>
      </c>
      <c r="D25" s="26">
        <v>830054076</v>
      </c>
      <c r="E25" s="27" t="str">
        <f>VLOOKUP(D25,[1]TERCEROS!$A$2:$C$4000,3,FALSE)</f>
        <v>FIDEICOMISOS SOCIEDAD FIDUCIARIA</v>
      </c>
      <c r="F25" s="28" t="s">
        <v>59</v>
      </c>
      <c r="G25" s="29">
        <v>9700</v>
      </c>
      <c r="H25" s="178">
        <v>0</v>
      </c>
      <c r="I25" s="231">
        <f t="shared" si="0"/>
        <v>9700</v>
      </c>
    </row>
    <row r="26" spans="1:9" s="1" customFormat="1" ht="15" thickBot="1" x14ac:dyDescent="0.4">
      <c r="A26" s="82">
        <v>17</v>
      </c>
      <c r="B26" s="326"/>
      <c r="C26" s="108">
        <v>43389</v>
      </c>
      <c r="D26" s="26">
        <v>830054076</v>
      </c>
      <c r="E26" s="27" t="str">
        <f>VLOOKUP(D26,[1]TERCEROS!$A$2:$C$4000,3,FALSE)</f>
        <v>FIDEICOMISOS SOCIEDAD FIDUCIARIA</v>
      </c>
      <c r="F26" s="28" t="s">
        <v>59</v>
      </c>
      <c r="G26" s="29">
        <v>9700</v>
      </c>
      <c r="H26" s="178">
        <v>0</v>
      </c>
      <c r="I26" s="231">
        <f t="shared" si="0"/>
        <v>9700</v>
      </c>
    </row>
    <row r="27" spans="1:9" s="1" customFormat="1" ht="15" thickBot="1" x14ac:dyDescent="0.4">
      <c r="A27" s="82">
        <v>18</v>
      </c>
      <c r="B27" s="326"/>
      <c r="C27" s="108">
        <v>43397</v>
      </c>
      <c r="D27" s="26">
        <v>830054076</v>
      </c>
      <c r="E27" s="27" t="str">
        <f>VLOOKUP(D27,[1]TERCEROS!$A$2:$C$4000,3,FALSE)</f>
        <v>FIDEICOMISOS SOCIEDAD FIDUCIARIA</v>
      </c>
      <c r="F27" s="28" t="s">
        <v>59</v>
      </c>
      <c r="G27" s="29">
        <v>9700</v>
      </c>
      <c r="H27" s="178">
        <v>0</v>
      </c>
      <c r="I27" s="231">
        <f t="shared" si="0"/>
        <v>9700</v>
      </c>
    </row>
    <row r="28" spans="1:9" s="1" customFormat="1" ht="15" thickBot="1" x14ac:dyDescent="0.4">
      <c r="A28" s="82">
        <v>19</v>
      </c>
      <c r="B28" s="326"/>
      <c r="C28" s="108">
        <v>43389</v>
      </c>
      <c r="D28" s="26">
        <v>830054076</v>
      </c>
      <c r="E28" s="27" t="str">
        <f>VLOOKUP(D28,[1]TERCEROS!$A$2:$C$4000,3,FALSE)</f>
        <v>FIDEICOMISOS SOCIEDAD FIDUCIARIA</v>
      </c>
      <c r="F28" s="28" t="s">
        <v>59</v>
      </c>
      <c r="G28" s="29">
        <v>9700</v>
      </c>
      <c r="H28" s="178">
        <v>0</v>
      </c>
      <c r="I28" s="231">
        <f t="shared" si="0"/>
        <v>9700</v>
      </c>
    </row>
    <row r="29" spans="1:9" s="1" customFormat="1" ht="15" thickBot="1" x14ac:dyDescent="0.4">
      <c r="A29" s="82">
        <v>20</v>
      </c>
      <c r="B29" s="326"/>
      <c r="C29" s="108">
        <v>43399</v>
      </c>
      <c r="D29" s="26">
        <v>830050619</v>
      </c>
      <c r="E29" s="27" t="str">
        <f>VLOOKUP(D29,[1]TERCEROS!$A$2:$C$4000,3,FALSE)</f>
        <v>CITY PARKING S.A</v>
      </c>
      <c r="F29" s="28" t="s">
        <v>35</v>
      </c>
      <c r="G29" s="29">
        <v>3050</v>
      </c>
      <c r="H29" s="178">
        <v>0</v>
      </c>
      <c r="I29" s="231">
        <v>3050</v>
      </c>
    </row>
    <row r="30" spans="1:9" s="1" customFormat="1" ht="15" thickBot="1" x14ac:dyDescent="0.4">
      <c r="A30" s="82">
        <v>21</v>
      </c>
      <c r="B30" s="326"/>
      <c r="C30" s="108">
        <v>43397</v>
      </c>
      <c r="D30" s="26">
        <v>1019049951</v>
      </c>
      <c r="E30" s="27" t="s">
        <v>383</v>
      </c>
      <c r="F30" s="28" t="s">
        <v>35</v>
      </c>
      <c r="G30" s="29">
        <v>2500</v>
      </c>
      <c r="H30" s="178">
        <v>0</v>
      </c>
      <c r="I30" s="231">
        <f t="shared" si="0"/>
        <v>2500</v>
      </c>
    </row>
    <row r="31" spans="1:9" s="1" customFormat="1" ht="15" thickBot="1" x14ac:dyDescent="0.4">
      <c r="A31" s="82">
        <v>22</v>
      </c>
      <c r="B31" s="326"/>
      <c r="C31" s="108">
        <v>43397</v>
      </c>
      <c r="D31" s="26">
        <v>222222222</v>
      </c>
      <c r="E31" s="27" t="str">
        <f>VLOOKUP(D31,[1]TERCEROS!$A$2:$C$4000,3,FALSE)</f>
        <v>CUANTIAS MINIMAS</v>
      </c>
      <c r="F31" s="28" t="s">
        <v>35</v>
      </c>
      <c r="G31" s="29">
        <v>3500</v>
      </c>
      <c r="H31" s="178">
        <v>0</v>
      </c>
      <c r="I31" s="231">
        <f t="shared" si="0"/>
        <v>3500</v>
      </c>
    </row>
    <row r="32" spans="1:9" s="1" customFormat="1" ht="15" thickBot="1" x14ac:dyDescent="0.4">
      <c r="A32" s="82">
        <v>23</v>
      </c>
      <c r="B32" s="326"/>
      <c r="C32" s="108">
        <v>43391</v>
      </c>
      <c r="D32" s="26">
        <v>52885296</v>
      </c>
      <c r="E32" s="27" t="s">
        <v>384</v>
      </c>
      <c r="F32" s="28" t="s">
        <v>418</v>
      </c>
      <c r="G32" s="29">
        <v>6500</v>
      </c>
      <c r="H32" s="178">
        <v>0</v>
      </c>
      <c r="I32" s="231">
        <f t="shared" si="0"/>
        <v>6500</v>
      </c>
    </row>
    <row r="33" spans="1:9" s="1" customFormat="1" ht="15" thickBot="1" x14ac:dyDescent="0.4">
      <c r="A33" s="82">
        <v>24</v>
      </c>
      <c r="B33" s="326"/>
      <c r="C33" s="108">
        <v>43389</v>
      </c>
      <c r="D33" s="26">
        <v>52898111</v>
      </c>
      <c r="E33" s="27" t="s">
        <v>168</v>
      </c>
      <c r="F33" s="28" t="s">
        <v>385</v>
      </c>
      <c r="G33" s="29">
        <v>20000</v>
      </c>
      <c r="H33" s="178">
        <v>0</v>
      </c>
      <c r="I33" s="231">
        <f t="shared" si="0"/>
        <v>20000</v>
      </c>
    </row>
    <row r="34" spans="1:9" s="1" customFormat="1" ht="15" thickBot="1" x14ac:dyDescent="0.4">
      <c r="A34" s="82">
        <v>25</v>
      </c>
      <c r="B34" s="326"/>
      <c r="C34" s="108">
        <v>43388</v>
      </c>
      <c r="D34" s="26">
        <v>39536225</v>
      </c>
      <c r="E34" s="27" t="s">
        <v>386</v>
      </c>
      <c r="F34" s="28" t="s">
        <v>387</v>
      </c>
      <c r="G34" s="29">
        <v>3450</v>
      </c>
      <c r="H34" s="178">
        <v>0</v>
      </c>
      <c r="I34" s="231">
        <f t="shared" si="0"/>
        <v>3450</v>
      </c>
    </row>
    <row r="35" spans="1:9" s="1" customFormat="1" ht="15" thickBot="1" x14ac:dyDescent="0.4">
      <c r="A35" s="82">
        <v>26</v>
      </c>
      <c r="B35" s="326"/>
      <c r="C35" s="108">
        <v>43391</v>
      </c>
      <c r="D35" s="26">
        <v>52885296</v>
      </c>
      <c r="E35" s="27" t="s">
        <v>388</v>
      </c>
      <c r="F35" s="28" t="s">
        <v>418</v>
      </c>
      <c r="G35" s="29">
        <v>8800</v>
      </c>
      <c r="H35" s="178">
        <v>0</v>
      </c>
      <c r="I35" s="231">
        <f t="shared" si="0"/>
        <v>8800</v>
      </c>
    </row>
    <row r="36" spans="1:9" s="1" customFormat="1" ht="15" thickBot="1" x14ac:dyDescent="0.4">
      <c r="A36" s="82">
        <v>27</v>
      </c>
      <c r="B36" s="326"/>
      <c r="C36" s="108">
        <v>43399</v>
      </c>
      <c r="D36" s="26">
        <v>891408584</v>
      </c>
      <c r="E36" s="27" t="str">
        <f>VLOOKUP(D36,[1]TERCEROS!$A$2:$C$4000,3,FALSE)</f>
        <v>FRISBY SA</v>
      </c>
      <c r="F36" s="28" t="s">
        <v>70</v>
      </c>
      <c r="G36" s="29">
        <v>21200</v>
      </c>
      <c r="H36" s="178">
        <v>0</v>
      </c>
      <c r="I36" s="231">
        <f t="shared" si="0"/>
        <v>21200</v>
      </c>
    </row>
    <row r="37" spans="1:9" s="1" customFormat="1" ht="15" thickBot="1" x14ac:dyDescent="0.4">
      <c r="A37" s="82">
        <v>28</v>
      </c>
      <c r="B37" s="326"/>
      <c r="C37" s="108">
        <v>43399</v>
      </c>
      <c r="D37" s="26">
        <v>900491889</v>
      </c>
      <c r="E37" s="27" t="str">
        <f>VLOOKUP(D37,[1]TERCEROS!$A$2:$C$4000,3,FALSE)</f>
        <v>EDS TERMINAL NEIVA</v>
      </c>
      <c r="F37" s="28" t="s">
        <v>70</v>
      </c>
      <c r="G37" s="29">
        <v>14500</v>
      </c>
      <c r="H37" s="178">
        <v>0</v>
      </c>
      <c r="I37" s="231">
        <f t="shared" si="0"/>
        <v>14500</v>
      </c>
    </row>
    <row r="38" spans="1:9" s="1" customFormat="1" ht="15" thickBot="1" x14ac:dyDescent="0.4">
      <c r="A38" s="82">
        <v>29</v>
      </c>
      <c r="B38" s="326"/>
      <c r="C38" s="108">
        <v>43399</v>
      </c>
      <c r="D38" s="26">
        <v>891408584</v>
      </c>
      <c r="E38" s="27" t="str">
        <f>VLOOKUP(D38,[1]TERCEROS!$A$2:$C$4000,3,FALSE)</f>
        <v>FRISBY SA</v>
      </c>
      <c r="F38" s="28" t="s">
        <v>70</v>
      </c>
      <c r="G38" s="29">
        <v>84800</v>
      </c>
      <c r="H38" s="178">
        <v>0</v>
      </c>
      <c r="I38" s="231">
        <f t="shared" si="0"/>
        <v>84800</v>
      </c>
    </row>
    <row r="39" spans="1:9" s="1" customFormat="1" ht="15" thickBot="1" x14ac:dyDescent="0.4">
      <c r="A39" s="82">
        <v>30</v>
      </c>
      <c r="B39" s="326"/>
      <c r="C39" s="108">
        <v>43402</v>
      </c>
      <c r="D39" s="26">
        <v>890900943</v>
      </c>
      <c r="E39" s="27" t="str">
        <f>VLOOKUP(D39,[1]TERCEROS!$A$2:$C$4000,3,FALSE)</f>
        <v>ALKOSTO</v>
      </c>
      <c r="F39" s="28" t="s">
        <v>389</v>
      </c>
      <c r="G39" s="29">
        <v>29328</v>
      </c>
      <c r="H39" s="178">
        <f>+G39*19%</f>
        <v>5572.32</v>
      </c>
      <c r="I39" s="231">
        <f t="shared" si="0"/>
        <v>34900.32</v>
      </c>
    </row>
    <row r="40" spans="1:9" s="1" customFormat="1" ht="15" thickBot="1" x14ac:dyDescent="0.4">
      <c r="A40" s="82">
        <v>31</v>
      </c>
      <c r="B40" s="326"/>
      <c r="C40" s="108">
        <v>43402</v>
      </c>
      <c r="D40" s="26">
        <v>79592139</v>
      </c>
      <c r="E40" s="27" t="s">
        <v>390</v>
      </c>
      <c r="F40" s="28" t="s">
        <v>391</v>
      </c>
      <c r="G40" s="29">
        <v>216000</v>
      </c>
      <c r="H40" s="178">
        <v>0</v>
      </c>
      <c r="I40" s="231">
        <f t="shared" si="0"/>
        <v>216000</v>
      </c>
    </row>
    <row r="41" spans="1:9" s="1" customFormat="1" ht="15" thickBot="1" x14ac:dyDescent="0.4">
      <c r="A41" s="82">
        <v>32</v>
      </c>
      <c r="B41" s="326"/>
      <c r="C41" s="108">
        <v>43397</v>
      </c>
      <c r="D41" s="26">
        <v>860530559</v>
      </c>
      <c r="E41" s="27" t="str">
        <f>VLOOKUP(D41,[1]TERCEROS!$A$2:$C$4000,3,FALSE)</f>
        <v>PARQUEADERO TEQUENDAMA LTDA</v>
      </c>
      <c r="F41" s="28" t="s">
        <v>35</v>
      </c>
      <c r="G41" s="29">
        <v>10000</v>
      </c>
      <c r="H41" s="178">
        <f>+G41*19%</f>
        <v>1900</v>
      </c>
      <c r="I41" s="231">
        <f t="shared" si="0"/>
        <v>11900</v>
      </c>
    </row>
    <row r="42" spans="1:9" s="1" customFormat="1" ht="15" thickBot="1" x14ac:dyDescent="0.4">
      <c r="A42" s="82">
        <v>33</v>
      </c>
      <c r="B42" s="326"/>
      <c r="C42" s="108">
        <v>43400</v>
      </c>
      <c r="D42" s="26">
        <v>900491889</v>
      </c>
      <c r="E42" s="27" t="str">
        <f>VLOOKUP(D42,[1]TERCEROS!$A$2:$C$4000,3,FALSE)</f>
        <v>EDS TERMINAL NEIVA</v>
      </c>
      <c r="F42" s="28" t="s">
        <v>392</v>
      </c>
      <c r="G42" s="29">
        <v>8700</v>
      </c>
      <c r="H42" s="178">
        <v>0</v>
      </c>
      <c r="I42" s="231">
        <f t="shared" si="0"/>
        <v>8700</v>
      </c>
    </row>
    <row r="43" spans="1:9" s="1" customFormat="1" ht="15" thickBot="1" x14ac:dyDescent="0.4">
      <c r="A43" s="82">
        <v>34</v>
      </c>
      <c r="B43" s="326"/>
      <c r="C43" s="108">
        <v>43395</v>
      </c>
      <c r="D43" s="26">
        <v>900491889</v>
      </c>
      <c r="E43" s="27" t="str">
        <f>VLOOKUP(D43,[1]TERCEROS!$A$2:$C$4000,3,FALSE)</f>
        <v>EDS TERMINAL NEIVA</v>
      </c>
      <c r="F43" s="28" t="s">
        <v>392</v>
      </c>
      <c r="G43" s="29">
        <v>24900</v>
      </c>
      <c r="H43" s="178">
        <v>0</v>
      </c>
      <c r="I43" s="231">
        <f t="shared" si="0"/>
        <v>24900</v>
      </c>
    </row>
    <row r="44" spans="1:9" s="1" customFormat="1" ht="15" thickBot="1" x14ac:dyDescent="0.4">
      <c r="A44" s="82">
        <v>35</v>
      </c>
      <c r="B44" s="326"/>
      <c r="C44" s="108">
        <v>43393</v>
      </c>
      <c r="D44" s="26">
        <v>80505448</v>
      </c>
      <c r="E44" s="27" t="s">
        <v>393</v>
      </c>
      <c r="F44" s="28" t="s">
        <v>70</v>
      </c>
      <c r="G44" s="29">
        <v>116750</v>
      </c>
      <c r="H44" s="178">
        <v>0</v>
      </c>
      <c r="I44" s="231">
        <f t="shared" si="0"/>
        <v>116750</v>
      </c>
    </row>
    <row r="45" spans="1:9" s="1" customFormat="1" ht="15" thickBot="1" x14ac:dyDescent="0.4">
      <c r="A45" s="82">
        <v>36</v>
      </c>
      <c r="B45" s="326"/>
      <c r="C45" s="108">
        <v>43397</v>
      </c>
      <c r="D45" s="26">
        <v>900491889</v>
      </c>
      <c r="E45" s="27" t="str">
        <f>VLOOKUP(D45,[1]TERCEROS!$A$2:$C$4000,3,FALSE)</f>
        <v>EDS TERMINAL NEIVA</v>
      </c>
      <c r="F45" s="28" t="s">
        <v>72</v>
      </c>
      <c r="G45" s="29">
        <v>24000</v>
      </c>
      <c r="H45" s="178">
        <v>0</v>
      </c>
      <c r="I45" s="231">
        <f t="shared" si="0"/>
        <v>24000</v>
      </c>
    </row>
    <row r="46" spans="1:9" s="1" customFormat="1" ht="15" thickBot="1" x14ac:dyDescent="0.4">
      <c r="A46" s="82">
        <v>37</v>
      </c>
      <c r="B46" s="326"/>
      <c r="C46" s="108">
        <v>43392</v>
      </c>
      <c r="D46" s="26">
        <v>11202446</v>
      </c>
      <c r="E46" s="27" t="str">
        <f>VLOOKUP(D46,[1]TERCEROS!$A$2:$C$4000,3,FALSE)</f>
        <v>CARLOS EMILIANO MARTINEZ CRISTANCHO</v>
      </c>
      <c r="F46" s="28" t="s">
        <v>48</v>
      </c>
      <c r="G46" s="29">
        <v>30000</v>
      </c>
      <c r="H46" s="178">
        <v>0</v>
      </c>
      <c r="I46" s="231">
        <f t="shared" si="0"/>
        <v>30000</v>
      </c>
    </row>
    <row r="47" spans="1:9" s="1" customFormat="1" ht="15" thickBot="1" x14ac:dyDescent="0.4">
      <c r="A47" s="82">
        <v>38</v>
      </c>
      <c r="B47" s="326"/>
      <c r="C47" s="108">
        <v>43398</v>
      </c>
      <c r="D47" s="26">
        <v>222222222</v>
      </c>
      <c r="E47" s="27" t="str">
        <f>VLOOKUP(D47,[1]TERCEROS!$A$2:$C$4000,3,FALSE)</f>
        <v>CUANTIAS MINIMAS</v>
      </c>
      <c r="F47" s="28" t="s">
        <v>394</v>
      </c>
      <c r="G47" s="29">
        <v>4000</v>
      </c>
      <c r="H47" s="178">
        <v>0</v>
      </c>
      <c r="I47" s="231">
        <f t="shared" si="0"/>
        <v>4000</v>
      </c>
    </row>
    <row r="48" spans="1:9" s="1" customFormat="1" ht="15" thickBot="1" x14ac:dyDescent="0.4">
      <c r="A48" s="82">
        <v>39</v>
      </c>
      <c r="B48" s="326"/>
      <c r="C48" s="108">
        <v>43384</v>
      </c>
      <c r="D48" s="26">
        <v>1031138543</v>
      </c>
      <c r="E48" s="27" t="str">
        <f>VLOOKUP(D48,[1]TERCEROS!$A$2:$C$4000,3,FALSE)</f>
        <v>OSCAR EDUARDO VALENCIA</v>
      </c>
      <c r="F48" s="28" t="s">
        <v>395</v>
      </c>
      <c r="G48" s="29">
        <v>50000</v>
      </c>
      <c r="H48" s="178">
        <v>0</v>
      </c>
      <c r="I48" s="231">
        <f t="shared" si="0"/>
        <v>50000</v>
      </c>
    </row>
    <row r="49" spans="1:12" s="1" customFormat="1" ht="15" thickBot="1" x14ac:dyDescent="0.4">
      <c r="A49" s="82">
        <v>40</v>
      </c>
      <c r="B49" s="326"/>
      <c r="C49" s="108">
        <v>43398</v>
      </c>
      <c r="D49" s="26">
        <v>53039738</v>
      </c>
      <c r="E49" s="27" t="str">
        <f>VLOOKUP(D49,[1]TERCEROS!$A$2:$C$4000,3,FALSE)</f>
        <v>GINNA PAOLA SUAREZ CASTELLANOS</v>
      </c>
      <c r="F49" s="28" t="s">
        <v>48</v>
      </c>
      <c r="G49" s="29">
        <v>33200</v>
      </c>
      <c r="H49" s="178">
        <v>0</v>
      </c>
      <c r="I49" s="231">
        <f t="shared" si="0"/>
        <v>33200</v>
      </c>
      <c r="L49" s="210">
        <f>+G49*19%</f>
        <v>6308</v>
      </c>
    </row>
    <row r="50" spans="1:12" s="1" customFormat="1" ht="15" thickBot="1" x14ac:dyDescent="0.4">
      <c r="A50" s="82">
        <v>41</v>
      </c>
      <c r="B50" s="326"/>
      <c r="C50" s="108">
        <v>43389</v>
      </c>
      <c r="D50" s="26">
        <v>72151045</v>
      </c>
      <c r="E50" s="27" t="str">
        <f>VLOOKUP(D50,[1]TERCEROS!$A$2:$C$4000,3,FALSE)</f>
        <v>EDINSON ROMERO</v>
      </c>
      <c r="F50" s="28" t="s">
        <v>48</v>
      </c>
      <c r="G50" s="29">
        <v>11000</v>
      </c>
      <c r="H50" s="178">
        <v>0</v>
      </c>
      <c r="I50" s="231">
        <f t="shared" si="0"/>
        <v>11000</v>
      </c>
    </row>
    <row r="51" spans="1:12" s="1" customFormat="1" ht="15" thickBot="1" x14ac:dyDescent="0.4">
      <c r="A51" s="82">
        <v>42</v>
      </c>
      <c r="B51" s="326"/>
      <c r="C51" s="108">
        <v>43391</v>
      </c>
      <c r="D51" s="26">
        <v>19426197</v>
      </c>
      <c r="E51" s="27" t="str">
        <f>VLOOKUP(D51,[1]TERCEROS!$A$2:$C$4000,3,FALSE)</f>
        <v>ROA ARANDA MANUEL JOSE</v>
      </c>
      <c r="F51" s="28" t="s">
        <v>48</v>
      </c>
      <c r="G51" s="29">
        <v>29000</v>
      </c>
      <c r="H51" s="178">
        <v>0</v>
      </c>
      <c r="I51" s="231">
        <f t="shared" si="0"/>
        <v>29000</v>
      </c>
    </row>
    <row r="52" spans="1:12" s="1" customFormat="1" ht="15" thickBot="1" x14ac:dyDescent="0.4">
      <c r="A52" s="82">
        <v>43</v>
      </c>
      <c r="B52" s="326"/>
      <c r="C52" s="108">
        <v>43393</v>
      </c>
      <c r="D52" s="26">
        <v>19426197</v>
      </c>
      <c r="E52" s="27" t="str">
        <f>VLOOKUP(D52,[1]TERCEROS!$A$2:$C$4000,3,FALSE)</f>
        <v>ROA ARANDA MANUEL JOSE</v>
      </c>
      <c r="F52" s="28" t="s">
        <v>48</v>
      </c>
      <c r="G52" s="29">
        <v>19600</v>
      </c>
      <c r="H52" s="178">
        <v>0</v>
      </c>
      <c r="I52" s="231">
        <f t="shared" si="0"/>
        <v>19600</v>
      </c>
    </row>
    <row r="53" spans="1:12" s="1" customFormat="1" ht="15" thickBot="1" x14ac:dyDescent="0.4">
      <c r="A53" s="82">
        <v>44</v>
      </c>
      <c r="B53" s="326"/>
      <c r="C53" s="108">
        <v>43393</v>
      </c>
      <c r="D53" s="26">
        <v>11202446</v>
      </c>
      <c r="E53" s="27" t="str">
        <f>VLOOKUP(D53,[1]TERCEROS!$A$2:$C$4000,3,FALSE)</f>
        <v>CARLOS EMILIANO MARTINEZ CRISTANCHO</v>
      </c>
      <c r="F53" s="28" t="s">
        <v>48</v>
      </c>
      <c r="G53" s="29">
        <v>40000</v>
      </c>
      <c r="H53" s="178">
        <v>0</v>
      </c>
      <c r="I53" s="231">
        <f t="shared" si="0"/>
        <v>40000</v>
      </c>
    </row>
    <row r="54" spans="1:12" s="1" customFormat="1" ht="15" thickBot="1" x14ac:dyDescent="0.4">
      <c r="A54" s="82">
        <v>45</v>
      </c>
      <c r="B54" s="224"/>
      <c r="C54" s="108">
        <v>43381</v>
      </c>
      <c r="D54" s="26">
        <v>900953424</v>
      </c>
      <c r="E54" s="27" t="s">
        <v>417</v>
      </c>
      <c r="F54" s="28" t="s">
        <v>272</v>
      </c>
      <c r="G54" s="29">
        <v>96900</v>
      </c>
      <c r="H54" s="178"/>
      <c r="I54" s="231">
        <f t="shared" si="0"/>
        <v>96900</v>
      </c>
    </row>
    <row r="55" spans="1:12" s="1" customFormat="1" ht="15" thickBot="1" x14ac:dyDescent="0.4">
      <c r="A55" s="82">
        <v>46</v>
      </c>
      <c r="B55" s="224"/>
      <c r="C55" s="108">
        <v>43382</v>
      </c>
      <c r="D55" s="26">
        <v>900860284</v>
      </c>
      <c r="E55" s="27" t="s">
        <v>298</v>
      </c>
      <c r="F55" s="28" t="s">
        <v>272</v>
      </c>
      <c r="G55" s="29">
        <v>14000</v>
      </c>
      <c r="H55" s="178"/>
      <c r="I55" s="231">
        <f t="shared" si="0"/>
        <v>14000</v>
      </c>
    </row>
    <row r="56" spans="1:12" s="1" customFormat="1" ht="15" thickBot="1" x14ac:dyDescent="0.4">
      <c r="A56" s="82">
        <v>47</v>
      </c>
      <c r="B56" s="224"/>
      <c r="C56" s="108">
        <v>43383</v>
      </c>
      <c r="D56" s="26">
        <v>900860284</v>
      </c>
      <c r="E56" s="27" t="s">
        <v>298</v>
      </c>
      <c r="F56" s="28" t="s">
        <v>272</v>
      </c>
      <c r="G56" s="29">
        <v>6600</v>
      </c>
      <c r="H56" s="178"/>
      <c r="I56" s="231">
        <f t="shared" si="0"/>
        <v>6600</v>
      </c>
    </row>
    <row r="57" spans="1:12" s="1" customFormat="1" ht="15" thickBot="1" x14ac:dyDescent="0.4">
      <c r="A57" s="82">
        <v>48</v>
      </c>
      <c r="B57" s="224"/>
      <c r="C57" s="108">
        <v>43397</v>
      </c>
      <c r="D57" s="26">
        <v>830054076</v>
      </c>
      <c r="E57" s="27" t="str">
        <f>VLOOKUP(D57,[1]TERCEROS!$A$2:$C$4000,3,FALSE)</f>
        <v>FIDEICOMISOS SOCIEDAD FIDUCIARIA</v>
      </c>
      <c r="F57" s="28" t="s">
        <v>33</v>
      </c>
      <c r="G57" s="29">
        <v>9700</v>
      </c>
      <c r="H57" s="178">
        <v>0</v>
      </c>
      <c r="I57" s="231">
        <f t="shared" si="0"/>
        <v>9700</v>
      </c>
    </row>
    <row r="58" spans="1:12" s="1" customFormat="1" ht="15" thickBot="1" x14ac:dyDescent="0.4">
      <c r="A58" s="82">
        <v>49</v>
      </c>
      <c r="B58" s="224"/>
      <c r="C58" s="108">
        <v>43397</v>
      </c>
      <c r="D58" s="26">
        <v>830054076</v>
      </c>
      <c r="E58" s="27" t="str">
        <f>VLOOKUP(D58,[1]TERCEROS!$A$2:$C$4000,3,FALSE)</f>
        <v>FIDEICOMISOS SOCIEDAD FIDUCIARIA</v>
      </c>
      <c r="F58" s="28" t="s">
        <v>33</v>
      </c>
      <c r="G58" s="29">
        <v>9700</v>
      </c>
      <c r="H58" s="178">
        <v>0</v>
      </c>
      <c r="I58" s="231">
        <f t="shared" si="0"/>
        <v>9700</v>
      </c>
    </row>
    <row r="59" spans="1:12" s="1" customFormat="1" ht="15" thickBot="1" x14ac:dyDescent="0.4">
      <c r="A59" s="82">
        <v>50</v>
      </c>
      <c r="B59" s="224"/>
      <c r="C59" s="108">
        <v>43395</v>
      </c>
      <c r="D59" s="26">
        <v>830054076</v>
      </c>
      <c r="E59" s="27" t="str">
        <f>VLOOKUP(D59,[1]TERCEROS!$A$2:$C$4000,3,FALSE)</f>
        <v>FIDEICOMISOS SOCIEDAD FIDUCIARIA</v>
      </c>
      <c r="F59" s="28" t="s">
        <v>33</v>
      </c>
      <c r="G59" s="29">
        <v>9700</v>
      </c>
      <c r="H59" s="178">
        <v>0</v>
      </c>
      <c r="I59" s="231">
        <f t="shared" si="0"/>
        <v>9700</v>
      </c>
    </row>
    <row r="60" spans="1:12" s="1" customFormat="1" ht="15" thickBot="1" x14ac:dyDescent="0.4">
      <c r="A60" s="82">
        <v>51</v>
      </c>
      <c r="B60" s="224"/>
      <c r="C60" s="109">
        <v>43398</v>
      </c>
      <c r="D60" s="110">
        <v>830054076</v>
      </c>
      <c r="E60" s="111" t="str">
        <f>VLOOKUP(D60,[1]TERCEROS!$A$2:$C$4000,3,FALSE)</f>
        <v>FIDEICOMISOS SOCIEDAD FIDUCIARIA</v>
      </c>
      <c r="F60" s="112" t="s">
        <v>33</v>
      </c>
      <c r="G60" s="113">
        <v>9700</v>
      </c>
      <c r="H60" s="178">
        <v>0</v>
      </c>
      <c r="I60" s="232">
        <f t="shared" si="0"/>
        <v>9700</v>
      </c>
    </row>
    <row r="61" spans="1:12" s="1" customFormat="1" ht="15" thickBot="1" x14ac:dyDescent="0.4">
      <c r="A61" s="82">
        <v>52</v>
      </c>
      <c r="B61" s="340" t="s">
        <v>397</v>
      </c>
      <c r="C61" s="107">
        <v>43400</v>
      </c>
      <c r="D61" s="17">
        <v>800151127</v>
      </c>
      <c r="E61" s="18" t="str">
        <f>VLOOKUP(D61,[1]TERCEROS!$A$2:$C$4000,3,FALSE)</f>
        <v>BELLTEC LTDA</v>
      </c>
      <c r="F61" s="19" t="s">
        <v>398</v>
      </c>
      <c r="G61" s="20">
        <v>51059</v>
      </c>
      <c r="H61" s="177">
        <f>+G61*19%</f>
        <v>9701.2100000000009</v>
      </c>
      <c r="I61" s="230">
        <f t="shared" si="0"/>
        <v>60760.21</v>
      </c>
    </row>
    <row r="62" spans="1:12" s="1" customFormat="1" ht="15" thickBot="1" x14ac:dyDescent="0.4">
      <c r="A62" s="82">
        <v>53</v>
      </c>
      <c r="B62" s="341"/>
      <c r="C62" s="108">
        <v>43398</v>
      </c>
      <c r="D62" s="26">
        <v>11442335</v>
      </c>
      <c r="E62" s="27" t="s">
        <v>399</v>
      </c>
      <c r="F62" s="28" t="s">
        <v>400</v>
      </c>
      <c r="G62" s="29">
        <v>44000</v>
      </c>
      <c r="H62" s="178">
        <v>0</v>
      </c>
      <c r="I62" s="231">
        <f t="shared" si="0"/>
        <v>44000</v>
      </c>
    </row>
    <row r="63" spans="1:12" s="1" customFormat="1" ht="15" thickBot="1" x14ac:dyDescent="0.4">
      <c r="A63" s="82">
        <v>54</v>
      </c>
      <c r="B63" s="341"/>
      <c r="C63" s="108">
        <v>43397</v>
      </c>
      <c r="D63" s="26">
        <v>900985940</v>
      </c>
      <c r="E63" s="27" t="str">
        <f>VLOOKUP(D63,[1]TERCEROS!$A$2:$C$4000,3,FALSE)</f>
        <v>OSI FUNZA COMERCIALIZADORA DE GASES</v>
      </c>
      <c r="F63" s="28" t="s">
        <v>401</v>
      </c>
      <c r="G63" s="29">
        <v>104202</v>
      </c>
      <c r="H63" s="178">
        <f>+G63*19%</f>
        <v>19798.38</v>
      </c>
      <c r="I63" s="231">
        <f t="shared" si="0"/>
        <v>124000.38</v>
      </c>
    </row>
    <row r="64" spans="1:12" s="1" customFormat="1" ht="15" thickBot="1" x14ac:dyDescent="0.4">
      <c r="A64" s="82">
        <v>55</v>
      </c>
      <c r="B64" s="346"/>
      <c r="C64" s="109">
        <v>43400</v>
      </c>
      <c r="D64" s="110">
        <v>900485642</v>
      </c>
      <c r="E64" s="111" t="str">
        <f>VLOOKUP(D64,[1]TERCEROS!$A$2:$C$4000,3,FALSE)</f>
        <v>IMPORTADORA REPUESTOS TORNILLOS</v>
      </c>
      <c r="F64" s="112" t="s">
        <v>402</v>
      </c>
      <c r="G64" s="113">
        <v>112941</v>
      </c>
      <c r="H64" s="179">
        <f>+G64*19%</f>
        <v>21458.79</v>
      </c>
      <c r="I64" s="232">
        <f t="shared" si="0"/>
        <v>134399.79</v>
      </c>
    </row>
    <row r="65" spans="1:37" s="1" customFormat="1" ht="15" thickBot="1" x14ac:dyDescent="0.4">
      <c r="A65" s="82">
        <v>56</v>
      </c>
      <c r="B65" s="9" t="s">
        <v>368</v>
      </c>
      <c r="C65" s="95">
        <v>43391</v>
      </c>
      <c r="D65" s="96">
        <v>800097424</v>
      </c>
      <c r="E65" s="97" t="str">
        <f>VLOOKUP(D65,[1]TERCEROS!$A$2:$C$4000,3,FALSE)</f>
        <v>DISTRIBUIDORA LA PUNTA LTDA</v>
      </c>
      <c r="F65" s="98" t="s">
        <v>403</v>
      </c>
      <c r="G65" s="99">
        <v>90809</v>
      </c>
      <c r="H65" s="201">
        <f>+G65*19%</f>
        <v>17253.71</v>
      </c>
      <c r="I65" s="233">
        <f t="shared" si="0"/>
        <v>108062.70999999999</v>
      </c>
    </row>
    <row r="66" spans="1:37" s="1" customFormat="1" ht="24.5" thickBot="1" x14ac:dyDescent="0.4">
      <c r="A66" s="82">
        <v>57</v>
      </c>
      <c r="B66" s="340" t="s">
        <v>49</v>
      </c>
      <c r="C66" s="107">
        <v>43397</v>
      </c>
      <c r="D66" s="17">
        <v>800097424</v>
      </c>
      <c r="E66" s="18" t="str">
        <f>VLOOKUP(D66,[1]TERCEROS!$A$2:$C$4000,3,FALSE)</f>
        <v>DISTRIBUIDORA LA PUNTA LTDA</v>
      </c>
      <c r="F66" s="19" t="s">
        <v>404</v>
      </c>
      <c r="G66" s="20">
        <v>52565</v>
      </c>
      <c r="H66" s="177">
        <f>+G66*19%</f>
        <v>9987.35</v>
      </c>
      <c r="I66" s="230">
        <f t="shared" si="0"/>
        <v>62552.35</v>
      </c>
    </row>
    <row r="67" spans="1:37" s="1" customFormat="1" ht="15" thickBot="1" x14ac:dyDescent="0.4">
      <c r="A67" s="82">
        <v>58</v>
      </c>
      <c r="B67" s="341"/>
      <c r="C67" s="108">
        <v>43397</v>
      </c>
      <c r="D67" s="26">
        <v>900491889</v>
      </c>
      <c r="E67" s="27" t="str">
        <f>VLOOKUP(D67,[1]TERCEROS!$A$2:$C$4000,3,FALSE)</f>
        <v>EDS TERMINAL NEIVA</v>
      </c>
      <c r="F67" s="28" t="s">
        <v>62</v>
      </c>
      <c r="G67" s="29">
        <v>7000</v>
      </c>
      <c r="H67" s="178">
        <v>0</v>
      </c>
      <c r="I67" s="231">
        <f t="shared" si="0"/>
        <v>7000</v>
      </c>
    </row>
    <row r="68" spans="1:37" s="1" customFormat="1" ht="15" thickBot="1" x14ac:dyDescent="0.4">
      <c r="A68" s="82">
        <v>59</v>
      </c>
      <c r="B68" s="341"/>
      <c r="C68" s="108">
        <v>43400</v>
      </c>
      <c r="D68" s="26">
        <v>79386978</v>
      </c>
      <c r="E68" s="27" t="str">
        <f>VLOOKUP(D68,[1]TERCEROS!$A$2:$C$4000,3,FALSE)</f>
        <v>PEDRO VICENTE RUIZ SOLANO</v>
      </c>
      <c r="F68" s="28" t="s">
        <v>405</v>
      </c>
      <c r="G68" s="29">
        <v>25800</v>
      </c>
      <c r="H68" s="178"/>
      <c r="I68" s="231">
        <f t="shared" si="0"/>
        <v>25800</v>
      </c>
    </row>
    <row r="69" spans="1:37" s="1" customFormat="1" ht="15" thickBot="1" x14ac:dyDescent="0.4">
      <c r="A69" s="82">
        <v>60</v>
      </c>
      <c r="B69" s="341"/>
      <c r="C69" s="108">
        <v>43402</v>
      </c>
      <c r="D69" s="26">
        <v>52978126</v>
      </c>
      <c r="E69" s="27" t="s">
        <v>406</v>
      </c>
      <c r="F69" s="28" t="s">
        <v>407</v>
      </c>
      <c r="G69" s="29">
        <v>52000</v>
      </c>
      <c r="H69" s="178"/>
      <c r="I69" s="231">
        <f t="shared" si="0"/>
        <v>52000</v>
      </c>
    </row>
    <row r="70" spans="1:37" s="1" customFormat="1" ht="15" thickBot="1" x14ac:dyDescent="0.4">
      <c r="A70" s="82">
        <v>61</v>
      </c>
      <c r="B70" s="341"/>
      <c r="C70" s="108">
        <v>43390</v>
      </c>
      <c r="D70" s="26">
        <v>52879431</v>
      </c>
      <c r="E70" s="27" t="s">
        <v>408</v>
      </c>
      <c r="F70" s="28" t="s">
        <v>409</v>
      </c>
      <c r="G70" s="29">
        <v>28000</v>
      </c>
      <c r="H70" s="178">
        <v>0</v>
      </c>
      <c r="I70" s="231">
        <f t="shared" si="0"/>
        <v>28000</v>
      </c>
    </row>
    <row r="71" spans="1:37" s="1" customFormat="1" ht="15" thickBot="1" x14ac:dyDescent="0.4">
      <c r="A71" s="82">
        <v>62</v>
      </c>
      <c r="B71" s="341"/>
      <c r="C71" s="108">
        <v>43399</v>
      </c>
      <c r="D71" s="26">
        <v>800097424</v>
      </c>
      <c r="E71" s="27" t="str">
        <f>VLOOKUP(D71,[1]TERCEROS!$A$2:$C$4000,3,FALSE)</f>
        <v>DISTRIBUIDORA LA PUNTA LTDA</v>
      </c>
      <c r="F71" s="28" t="s">
        <v>410</v>
      </c>
      <c r="G71" s="29">
        <v>84708</v>
      </c>
      <c r="H71" s="178">
        <f>+G71*19%</f>
        <v>16094.52</v>
      </c>
      <c r="I71" s="231">
        <f t="shared" si="0"/>
        <v>100802.52</v>
      </c>
    </row>
    <row r="72" spans="1:37" s="1" customFormat="1" ht="15" thickBot="1" x14ac:dyDescent="0.4">
      <c r="A72" s="82">
        <v>63</v>
      </c>
      <c r="B72" s="341"/>
      <c r="C72" s="108">
        <v>43399</v>
      </c>
      <c r="D72" s="26">
        <v>800097424</v>
      </c>
      <c r="E72" s="27" t="str">
        <f>VLOOKUP(D72,[1]TERCEROS!$A$2:$C$4000,3,FALSE)</f>
        <v>DISTRIBUIDORA LA PUNTA LTDA</v>
      </c>
      <c r="F72" s="86" t="s">
        <v>411</v>
      </c>
      <c r="G72" s="87">
        <v>23205</v>
      </c>
      <c r="H72" s="178">
        <f>+G72*19%</f>
        <v>4408.95</v>
      </c>
      <c r="I72" s="231">
        <f t="shared" si="0"/>
        <v>27613.95</v>
      </c>
    </row>
    <row r="73" spans="1:37" s="1" customFormat="1" ht="15" thickBot="1" x14ac:dyDescent="0.4">
      <c r="A73" s="82">
        <v>64</v>
      </c>
      <c r="B73" s="346"/>
      <c r="C73" s="109">
        <v>43395</v>
      </c>
      <c r="D73" s="110">
        <v>830087099</v>
      </c>
      <c r="E73" s="111" t="str">
        <f>VLOOKUP(D73,[1]TERCEROS!$A$2:$C$4000,3,FALSE)</f>
        <v>CENTRAL PARKING SYSTEM COL LTDA</v>
      </c>
      <c r="F73" s="112" t="s">
        <v>35</v>
      </c>
      <c r="G73" s="113">
        <v>12300</v>
      </c>
      <c r="H73" s="179"/>
      <c r="I73" s="232">
        <f t="shared" si="0"/>
        <v>12300</v>
      </c>
    </row>
    <row r="74" spans="1:37" s="1" customFormat="1" ht="15" thickBot="1" x14ac:dyDescent="0.4">
      <c r="A74" s="82">
        <v>65</v>
      </c>
      <c r="B74" s="340" t="s">
        <v>369</v>
      </c>
      <c r="C74" s="159">
        <v>43399</v>
      </c>
      <c r="D74" s="135">
        <v>1014223814</v>
      </c>
      <c r="E74" s="136" t="s">
        <v>412</v>
      </c>
      <c r="F74" s="137" t="s">
        <v>413</v>
      </c>
      <c r="G74" s="138">
        <v>100000</v>
      </c>
      <c r="H74" s="204"/>
      <c r="I74" s="138">
        <f>G74+H74</f>
        <v>100000</v>
      </c>
    </row>
    <row r="75" spans="1:37" s="1" customFormat="1" ht="15" thickBot="1" x14ac:dyDescent="0.4">
      <c r="A75" s="82">
        <v>66</v>
      </c>
      <c r="B75" s="341"/>
      <c r="C75" s="132">
        <v>43396</v>
      </c>
      <c r="D75" s="91">
        <v>79583606</v>
      </c>
      <c r="E75" s="27" t="str">
        <f>VLOOKUP(D75,[1]TERCEROS!$A$2:$C$4000,3,FALSE)</f>
        <v>LEONARDO JAVIER MEDINA FORERO</v>
      </c>
      <c r="F75" s="86" t="s">
        <v>414</v>
      </c>
      <c r="G75" s="87">
        <v>200000</v>
      </c>
      <c r="H75" s="178"/>
      <c r="I75" s="138">
        <f t="shared" ref="I75:I77" si="1">G75+H75</f>
        <v>200000</v>
      </c>
    </row>
    <row r="76" spans="1:37" s="1" customFormat="1" ht="15" thickBot="1" x14ac:dyDescent="0.4">
      <c r="A76" s="82">
        <v>67</v>
      </c>
      <c r="B76" s="341"/>
      <c r="C76" s="132">
        <v>43402</v>
      </c>
      <c r="D76" s="91">
        <v>764169</v>
      </c>
      <c r="E76" s="27" t="s">
        <v>416</v>
      </c>
      <c r="F76" s="86" t="s">
        <v>414</v>
      </c>
      <c r="G76" s="87">
        <v>50000</v>
      </c>
      <c r="H76" s="178"/>
      <c r="I76" s="138">
        <f t="shared" si="1"/>
        <v>50000</v>
      </c>
    </row>
    <row r="77" spans="1:37" s="1" customFormat="1" ht="15" thickBot="1" x14ac:dyDescent="0.4">
      <c r="A77" s="82">
        <v>68</v>
      </c>
      <c r="B77" s="341"/>
      <c r="C77" s="132">
        <v>43396</v>
      </c>
      <c r="D77" s="91">
        <v>12144105</v>
      </c>
      <c r="E77" s="92" t="str">
        <f>VLOOKUP(D77,[1]TERCEROS!$A$2:$C$4000,3,FALSE)</f>
        <v>VILLA JAVIER JIMENEZ</v>
      </c>
      <c r="F77" s="86" t="s">
        <v>415</v>
      </c>
      <c r="G77" s="113">
        <v>620000</v>
      </c>
      <c r="H77" s="180"/>
      <c r="I77" s="138">
        <f t="shared" si="1"/>
        <v>620000</v>
      </c>
    </row>
    <row r="78" spans="1:37" s="2" customFormat="1" ht="15.75" customHeight="1" thickBot="1" x14ac:dyDescent="0.4">
      <c r="A78" s="327" t="s">
        <v>310</v>
      </c>
      <c r="B78" s="328"/>
      <c r="C78" s="328"/>
      <c r="D78" s="328"/>
      <c r="E78" s="352"/>
      <c r="F78" s="33" t="s">
        <v>24</v>
      </c>
      <c r="G78" s="94">
        <f>SUM(G10:G77)</f>
        <v>2872867</v>
      </c>
      <c r="H78" s="34">
        <f>SUM(H10:H77)</f>
        <v>119209.23000000001</v>
      </c>
      <c r="I78" s="34">
        <f>SUM(I10:I77)</f>
        <v>2992076.2300000004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s="2" customFormat="1" ht="15" customHeight="1" x14ac:dyDescent="0.35">
      <c r="A79" s="300" t="s">
        <v>26</v>
      </c>
      <c r="B79" s="301"/>
      <c r="C79" s="301"/>
      <c r="D79" s="306" t="s">
        <v>58</v>
      </c>
      <c r="E79" s="307"/>
      <c r="F79" s="312"/>
      <c r="G79" s="315" t="s">
        <v>16</v>
      </c>
      <c r="H79" s="316"/>
      <c r="I79" s="35">
        <v>3000000</v>
      </c>
      <c r="J79" s="1"/>
      <c r="K79" s="1"/>
      <c r="L79" s="1"/>
      <c r="M79" s="2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s="2" customFormat="1" ht="15" customHeight="1" x14ac:dyDescent="0.35">
      <c r="A80" s="302"/>
      <c r="B80" s="303"/>
      <c r="C80" s="303"/>
      <c r="D80" s="308"/>
      <c r="E80" s="309"/>
      <c r="F80" s="313"/>
      <c r="G80" s="317" t="s">
        <v>17</v>
      </c>
      <c r="H80" s="318"/>
      <c r="I80" s="36">
        <f>+I79-I78</f>
        <v>7923.769999999553</v>
      </c>
      <c r="J80" s="1"/>
      <c r="K80" s="1"/>
      <c r="L80" s="1"/>
      <c r="M80" s="21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s="1" customFormat="1" ht="15.75" customHeight="1" thickBot="1" x14ac:dyDescent="0.4">
      <c r="A81" s="304"/>
      <c r="B81" s="305"/>
      <c r="C81" s="305"/>
      <c r="D81" s="310"/>
      <c r="E81" s="311"/>
      <c r="F81" s="314"/>
      <c r="G81" s="289" t="s">
        <v>5</v>
      </c>
      <c r="H81" s="290"/>
      <c r="I81" s="37">
        <f>+I79-I80</f>
        <v>2992076.2300000004</v>
      </c>
    </row>
    <row r="82" spans="1:37" s="1" customFormat="1" ht="15" thickBot="1" x14ac:dyDescent="0.4">
      <c r="A82" s="291" t="s">
        <v>25</v>
      </c>
      <c r="B82" s="292"/>
      <c r="C82" s="292"/>
      <c r="D82" s="293"/>
      <c r="E82" s="38"/>
      <c r="F82" s="38"/>
      <c r="G82" s="38"/>
      <c r="H82" s="38"/>
      <c r="I82" s="39"/>
    </row>
    <row r="83" spans="1:37" s="1" customFormat="1" ht="15" thickBot="1" x14ac:dyDescent="0.4">
      <c r="A83" s="40"/>
      <c r="B83" s="41" t="s">
        <v>6</v>
      </c>
      <c r="C83" s="42">
        <f>D99</f>
        <v>7900</v>
      </c>
      <c r="D83" s="39"/>
      <c r="E83" s="43">
        <f>C83+C86+I78</f>
        <v>2999976.2300000004</v>
      </c>
      <c r="F83" s="43"/>
      <c r="G83" s="38"/>
      <c r="H83" s="38"/>
      <c r="I83" s="44"/>
    </row>
    <row r="84" spans="1:37" s="1" customFormat="1" ht="15" thickBot="1" x14ac:dyDescent="0.4">
      <c r="A84" s="40"/>
      <c r="B84" s="41"/>
      <c r="C84" s="45"/>
      <c r="D84" s="39"/>
      <c r="E84" s="43">
        <f>+E83-I79</f>
        <v>-23.769999999552965</v>
      </c>
      <c r="F84" s="38"/>
      <c r="G84" s="38"/>
      <c r="H84" s="38"/>
      <c r="I84" s="39"/>
    </row>
    <row r="85" spans="1:37" s="1" customFormat="1" ht="15" thickBot="1" x14ac:dyDescent="0.4">
      <c r="A85" s="40"/>
      <c r="B85" s="46"/>
      <c r="C85" s="45">
        <v>0</v>
      </c>
      <c r="D85" s="39"/>
      <c r="E85" s="43"/>
      <c r="F85" s="38"/>
      <c r="G85" s="38"/>
      <c r="H85" s="38"/>
      <c r="I85" s="39"/>
    </row>
    <row r="86" spans="1:37" s="1" customFormat="1" ht="15" thickBot="1" x14ac:dyDescent="0.4">
      <c r="A86" s="40"/>
      <c r="B86" s="47" t="s">
        <v>7</v>
      </c>
      <c r="C86" s="45">
        <f>SUM(C84:C85)</f>
        <v>0</v>
      </c>
      <c r="D86" s="39"/>
      <c r="E86" s="48"/>
      <c r="F86" s="48"/>
      <c r="G86" s="48"/>
      <c r="H86" s="48"/>
      <c r="I86" s="49"/>
    </row>
    <row r="87" spans="1:37" s="1" customFormat="1" ht="15" thickBot="1" x14ac:dyDescent="0.4">
      <c r="A87" s="40"/>
      <c r="B87" s="50"/>
      <c r="C87" s="51"/>
      <c r="D87" s="39"/>
      <c r="E87" s="48"/>
      <c r="F87" s="48"/>
      <c r="G87" s="48"/>
      <c r="H87" s="48"/>
      <c r="I87" s="49"/>
    </row>
    <row r="88" spans="1:37" s="1" customFormat="1" ht="15" thickBot="1" x14ac:dyDescent="0.4">
      <c r="A88" s="40"/>
      <c r="B88" s="52"/>
      <c r="C88" s="53" t="s">
        <v>11</v>
      </c>
      <c r="D88" s="54" t="s">
        <v>4</v>
      </c>
      <c r="E88" s="38"/>
      <c r="F88" s="55"/>
      <c r="G88" s="38"/>
      <c r="H88" s="38"/>
      <c r="I88" s="39"/>
    </row>
    <row r="89" spans="1:37" s="1" customFormat="1" ht="14.5" x14ac:dyDescent="0.35">
      <c r="A89" s="40"/>
      <c r="B89" s="56"/>
      <c r="C89" s="57">
        <v>50000</v>
      </c>
      <c r="D89" s="58">
        <f t="shared" ref="D89:D98" si="2">+C89*B89</f>
        <v>0</v>
      </c>
      <c r="E89" s="222" t="s">
        <v>29</v>
      </c>
      <c r="F89" s="60" t="s">
        <v>27</v>
      </c>
      <c r="G89" s="294" t="s">
        <v>28</v>
      </c>
      <c r="H89" s="294"/>
      <c r="I89" s="295"/>
    </row>
    <row r="90" spans="1:37" s="5" customFormat="1" ht="15" customHeight="1" x14ac:dyDescent="0.35">
      <c r="A90" s="40"/>
      <c r="B90" s="62">
        <v>0</v>
      </c>
      <c r="C90" s="63">
        <v>20000</v>
      </c>
      <c r="D90" s="58">
        <f t="shared" si="2"/>
        <v>0</v>
      </c>
      <c r="E90" s="220" t="s">
        <v>19</v>
      </c>
      <c r="F90" s="220" t="s">
        <v>20</v>
      </c>
      <c r="G90" s="296" t="s">
        <v>21</v>
      </c>
      <c r="H90" s="296"/>
      <c r="I90" s="29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s="5" customFormat="1" ht="15" customHeight="1" x14ac:dyDescent="0.35">
      <c r="A91" s="40"/>
      <c r="B91" s="62"/>
      <c r="C91" s="63">
        <v>10000</v>
      </c>
      <c r="D91" s="58">
        <f t="shared" si="2"/>
        <v>0</v>
      </c>
      <c r="E91" s="221" t="s">
        <v>79</v>
      </c>
      <c r="F91" s="221" t="s">
        <v>80</v>
      </c>
      <c r="G91" s="298" t="s">
        <v>81</v>
      </c>
      <c r="H91" s="298"/>
      <c r="I91" s="29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s="5" customFormat="1" ht="15" customHeight="1" x14ac:dyDescent="0.35">
      <c r="A92" s="40"/>
      <c r="B92" s="62"/>
      <c r="C92" s="63">
        <v>5000</v>
      </c>
      <c r="D92" s="58">
        <f t="shared" si="2"/>
        <v>0</v>
      </c>
      <c r="E92" s="38" t="s">
        <v>0</v>
      </c>
      <c r="F92" s="38"/>
      <c r="G92" s="38"/>
      <c r="H92" s="38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s="5" customFormat="1" ht="15" customHeight="1" x14ac:dyDescent="0.35">
      <c r="A93" s="40"/>
      <c r="B93" s="62">
        <v>1</v>
      </c>
      <c r="C93" s="63">
        <v>2000</v>
      </c>
      <c r="D93" s="58">
        <f t="shared" si="2"/>
        <v>2000</v>
      </c>
      <c r="E93" s="38"/>
      <c r="F93" s="38" t="s">
        <v>8</v>
      </c>
      <c r="G93" s="38"/>
      <c r="H93" s="38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s="5" customFormat="1" ht="15" customHeight="1" x14ac:dyDescent="0.35">
      <c r="A94" s="40"/>
      <c r="B94" s="62">
        <v>2</v>
      </c>
      <c r="C94" s="63">
        <v>1000</v>
      </c>
      <c r="D94" s="58">
        <f t="shared" si="2"/>
        <v>2000</v>
      </c>
      <c r="E94" s="38"/>
      <c r="F94" s="38"/>
      <c r="G94" s="38"/>
      <c r="H94" s="38"/>
      <c r="I94" s="3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s="1" customFormat="1" ht="15" customHeight="1" x14ac:dyDescent="0.35">
      <c r="A95" s="40"/>
      <c r="B95" s="62">
        <v>4</v>
      </c>
      <c r="C95" s="63">
        <v>500</v>
      </c>
      <c r="D95" s="58">
        <f t="shared" si="2"/>
        <v>2000</v>
      </c>
      <c r="E95" s="38"/>
      <c r="F95" s="38"/>
      <c r="G95" s="38"/>
      <c r="H95" s="38"/>
      <c r="I95" s="39"/>
    </row>
    <row r="96" spans="1:37" s="1" customFormat="1" ht="15" customHeight="1" x14ac:dyDescent="0.35">
      <c r="A96" s="40"/>
      <c r="B96" s="62">
        <v>4</v>
      </c>
      <c r="C96" s="63">
        <v>200</v>
      </c>
      <c r="D96" s="58">
        <f t="shared" si="2"/>
        <v>800</v>
      </c>
      <c r="E96" s="38"/>
      <c r="F96" s="38"/>
      <c r="G96" s="38"/>
      <c r="H96" s="38"/>
      <c r="I96" s="39"/>
    </row>
    <row r="97" spans="1:37" s="1" customFormat="1" ht="15" customHeight="1" x14ac:dyDescent="0.35">
      <c r="A97" s="40"/>
      <c r="B97" s="62">
        <v>9</v>
      </c>
      <c r="C97" s="63">
        <v>100</v>
      </c>
      <c r="D97" s="58">
        <f>+C97*B97</f>
        <v>900</v>
      </c>
      <c r="E97" s="38"/>
      <c r="F97" s="38"/>
      <c r="G97" s="38"/>
      <c r="H97" s="38"/>
      <c r="I97" s="39"/>
    </row>
    <row r="98" spans="1:37" s="5" customFormat="1" ht="15" customHeight="1" thickBot="1" x14ac:dyDescent="0.4">
      <c r="A98" s="40"/>
      <c r="B98" s="68">
        <v>4</v>
      </c>
      <c r="C98" s="69">
        <v>50</v>
      </c>
      <c r="D98" s="58">
        <f t="shared" si="2"/>
        <v>200</v>
      </c>
      <c r="E98" s="38"/>
      <c r="F98" s="38"/>
      <c r="G98" s="38"/>
      <c r="H98" s="38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s="1" customFormat="1" ht="15" customHeight="1" thickBot="1" x14ac:dyDescent="0.4">
      <c r="A99" s="40"/>
      <c r="B99" s="222"/>
      <c r="C99" s="70"/>
      <c r="D99" s="71">
        <f>SUM(D89:D98)</f>
        <v>7900</v>
      </c>
      <c r="E99" s="38"/>
      <c r="F99" s="38"/>
      <c r="G99" s="38"/>
      <c r="H99" s="38"/>
      <c r="I99" s="39"/>
    </row>
    <row r="100" spans="1:37" s="5" customFormat="1" ht="15" customHeight="1" thickBot="1" x14ac:dyDescent="0.4">
      <c r="A100" s="72"/>
      <c r="B100" s="73"/>
      <c r="C100" s="74"/>
      <c r="D100" s="75"/>
      <c r="E100" s="76"/>
      <c r="F100" s="76"/>
      <c r="G100" s="76"/>
      <c r="H100" s="76"/>
      <c r="I100" s="7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s="5" customFormat="1" ht="22.5" customHeight="1" x14ac:dyDescent="0.35">
      <c r="A101" s="1"/>
      <c r="B101"/>
      <c r="C101" s="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s="3" customFormat="1" ht="22.5" customHeight="1" x14ac:dyDescent="0.35">
      <c r="A102"/>
      <c r="B102"/>
      <c r="C102" s="6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 s="3" customFormat="1" ht="22.5" customHeight="1" x14ac:dyDescent="0.35">
      <c r="A103"/>
      <c r="B103"/>
      <c r="C103" s="6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 s="3" customFormat="1" ht="22.5" customHeight="1" x14ac:dyDescent="0.35">
      <c r="A104"/>
      <c r="B104"/>
      <c r="C104" s="6"/>
      <c r="D104" s="7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</sheetData>
  <autoFilter ref="C9:J86"/>
  <mergeCells count="24">
    <mergeCell ref="A7:B7"/>
    <mergeCell ref="C7:I7"/>
    <mergeCell ref="A8:I8"/>
    <mergeCell ref="A1:B6"/>
    <mergeCell ref="C1:F3"/>
    <mergeCell ref="G1:I2"/>
    <mergeCell ref="G3:I4"/>
    <mergeCell ref="C4:F6"/>
    <mergeCell ref="G5:I6"/>
    <mergeCell ref="A82:D82"/>
    <mergeCell ref="G89:I89"/>
    <mergeCell ref="G90:I90"/>
    <mergeCell ref="G91:I91"/>
    <mergeCell ref="B11:B53"/>
    <mergeCell ref="B61:B64"/>
    <mergeCell ref="B74:B77"/>
    <mergeCell ref="B66:B73"/>
    <mergeCell ref="A78:E78"/>
    <mergeCell ref="A79:C81"/>
    <mergeCell ref="D79:E81"/>
    <mergeCell ref="F79:F81"/>
    <mergeCell ref="G79:H79"/>
    <mergeCell ref="G80:H80"/>
    <mergeCell ref="G81:H81"/>
  </mergeCells>
  <pageMargins left="0.7" right="0.7" top="0.75" bottom="0.75" header="0.3" footer="0.3"/>
  <pageSetup scale="44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31"/>
  <sheetViews>
    <sheetView showGridLines="0" topLeftCell="A40" workbookViewId="0">
      <selection activeCell="E29" sqref="E29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43411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28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28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43364</v>
      </c>
      <c r="D10" s="17">
        <v>830054076</v>
      </c>
      <c r="E10" s="18" t="str">
        <f>VLOOKUP(D10,[1]TERCEROS!$A$2:$C$4000,3,FALSE)</f>
        <v>FIDEICOMISOS SOCIEDAD FIDUCIARIA</v>
      </c>
      <c r="F10" s="19" t="s">
        <v>33</v>
      </c>
      <c r="G10" s="20">
        <v>9700</v>
      </c>
      <c r="H10" s="177">
        <v>0</v>
      </c>
      <c r="I10" s="230">
        <f>IF($K$14=1,G10+H10,G10*H10)</f>
        <v>9700</v>
      </c>
    </row>
    <row r="11" spans="1:12" s="1" customFormat="1" ht="15" thickBot="1" x14ac:dyDescent="0.4">
      <c r="A11" s="82">
        <v>2</v>
      </c>
      <c r="B11" s="326" t="s">
        <v>396</v>
      </c>
      <c r="C11" s="108">
        <v>43408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178">
        <v>0</v>
      </c>
      <c r="I11" s="231">
        <f>IF($K$14=1,G11+H11,G11*H11)</f>
        <v>9700</v>
      </c>
    </row>
    <row r="12" spans="1:12" s="1" customFormat="1" ht="15" thickBot="1" x14ac:dyDescent="0.4">
      <c r="A12" s="82">
        <v>3</v>
      </c>
      <c r="B12" s="326"/>
      <c r="C12" s="108">
        <v>43405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178">
        <v>0</v>
      </c>
      <c r="I12" s="231">
        <f t="shared" ref="I12:I85" si="0">IF($K$14=1,G12+H12,G12*H12)</f>
        <v>9700</v>
      </c>
    </row>
    <row r="13" spans="1:12" s="1" customFormat="1" ht="15" thickBot="1" x14ac:dyDescent="0.4">
      <c r="A13" s="82">
        <v>4</v>
      </c>
      <c r="B13" s="326"/>
      <c r="C13" s="108">
        <v>43403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178">
        <v>0</v>
      </c>
      <c r="I13" s="231">
        <f t="shared" si="0"/>
        <v>9700</v>
      </c>
    </row>
    <row r="14" spans="1:12" s="1" customFormat="1" ht="15" thickBot="1" x14ac:dyDescent="0.4">
      <c r="A14" s="82">
        <v>5</v>
      </c>
      <c r="B14" s="326"/>
      <c r="C14" s="108">
        <v>43399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178">
        <v>0</v>
      </c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26"/>
      <c r="C15" s="108">
        <v>43397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178">
        <v>0</v>
      </c>
      <c r="I15" s="231">
        <f t="shared" si="0"/>
        <v>9700</v>
      </c>
    </row>
    <row r="16" spans="1:12" s="1" customFormat="1" ht="15" thickBot="1" x14ac:dyDescent="0.4">
      <c r="A16" s="82">
        <v>7</v>
      </c>
      <c r="B16" s="326"/>
      <c r="C16" s="108">
        <v>43405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178">
        <v>0</v>
      </c>
      <c r="I16" s="231">
        <f t="shared" ref="I16:I18" si="1">IF($K$14=1,G16+H16,G16*H16)</f>
        <v>9700</v>
      </c>
    </row>
    <row r="17" spans="1:9" s="1" customFormat="1" ht="15" thickBot="1" x14ac:dyDescent="0.4">
      <c r="A17" s="82">
        <v>8</v>
      </c>
      <c r="B17" s="326"/>
      <c r="C17" s="108">
        <v>43399</v>
      </c>
      <c r="D17" s="26">
        <v>830054076</v>
      </c>
      <c r="E17" s="27" t="str">
        <f>VLOOKUP(D17,[1]TERCEROS!$A$2:$C$4000,3,FALSE)</f>
        <v>FIDEICOMISOS SOCIEDAD FIDUCIARIA</v>
      </c>
      <c r="F17" s="28" t="s">
        <v>33</v>
      </c>
      <c r="G17" s="29">
        <v>9700</v>
      </c>
      <c r="H17" s="178">
        <v>0</v>
      </c>
      <c r="I17" s="231">
        <f t="shared" si="1"/>
        <v>9700</v>
      </c>
    </row>
    <row r="18" spans="1:9" s="1" customFormat="1" ht="15" thickBot="1" x14ac:dyDescent="0.4">
      <c r="A18" s="82">
        <v>9</v>
      </c>
      <c r="B18" s="326"/>
      <c r="C18" s="108">
        <v>43403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178">
        <v>0</v>
      </c>
      <c r="I18" s="231">
        <f t="shared" si="1"/>
        <v>9700</v>
      </c>
    </row>
    <row r="19" spans="1:9" s="1" customFormat="1" ht="15" thickBot="1" x14ac:dyDescent="0.4">
      <c r="A19" s="82">
        <v>10</v>
      </c>
      <c r="B19" s="326"/>
      <c r="C19" s="108">
        <v>43406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178">
        <v>0</v>
      </c>
      <c r="I19" s="231">
        <f t="shared" ref="I19:I30" si="2">IF($K$14=1,G19+H19,G19*H19)</f>
        <v>9700</v>
      </c>
    </row>
    <row r="20" spans="1:9" s="1" customFormat="1" ht="15" thickBot="1" x14ac:dyDescent="0.4">
      <c r="A20" s="82">
        <v>11</v>
      </c>
      <c r="B20" s="326"/>
      <c r="C20" s="108">
        <v>43405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178">
        <v>0</v>
      </c>
      <c r="I20" s="231">
        <f t="shared" si="2"/>
        <v>9700</v>
      </c>
    </row>
    <row r="21" spans="1:9" s="1" customFormat="1" ht="15" thickBot="1" x14ac:dyDescent="0.4">
      <c r="A21" s="82">
        <v>12</v>
      </c>
      <c r="B21" s="326"/>
      <c r="C21" s="108">
        <v>43405</v>
      </c>
      <c r="D21" s="26">
        <v>830054076</v>
      </c>
      <c r="E21" s="27" t="str">
        <f>VLOOKUP(D21,[1]TERCEROS!$A$2:$C$4000,3,FALSE)</f>
        <v>FIDEICOMISOS SOCIEDAD FIDUCIARIA</v>
      </c>
      <c r="F21" s="28" t="s">
        <v>33</v>
      </c>
      <c r="G21" s="29">
        <v>9700</v>
      </c>
      <c r="H21" s="178">
        <v>0</v>
      </c>
      <c r="I21" s="231">
        <f t="shared" si="2"/>
        <v>9700</v>
      </c>
    </row>
    <row r="22" spans="1:9" s="1" customFormat="1" ht="15" thickBot="1" x14ac:dyDescent="0.4">
      <c r="A22" s="82">
        <v>13</v>
      </c>
      <c r="B22" s="326"/>
      <c r="C22" s="108">
        <v>43404</v>
      </c>
      <c r="D22" s="26">
        <v>830054076</v>
      </c>
      <c r="E22" s="27" t="str">
        <f>VLOOKUP(D22,[1]TERCEROS!$A$2:$C$4000,3,FALSE)</f>
        <v>FIDEICOMISOS SOCIEDAD FIDUCIARIA</v>
      </c>
      <c r="F22" s="28" t="s">
        <v>33</v>
      </c>
      <c r="G22" s="29">
        <v>9700</v>
      </c>
      <c r="H22" s="178">
        <v>0</v>
      </c>
      <c r="I22" s="231">
        <f t="shared" si="2"/>
        <v>9700</v>
      </c>
    </row>
    <row r="23" spans="1:9" s="1" customFormat="1" ht="15" thickBot="1" x14ac:dyDescent="0.4">
      <c r="A23" s="82">
        <v>14</v>
      </c>
      <c r="B23" s="326"/>
      <c r="C23" s="108">
        <v>43404</v>
      </c>
      <c r="D23" s="26">
        <v>830054076</v>
      </c>
      <c r="E23" s="27" t="str">
        <f>VLOOKUP(D23,[1]TERCEROS!$A$2:$C$4000,3,FALSE)</f>
        <v>FIDEICOMISOS SOCIEDAD FIDUCIARIA</v>
      </c>
      <c r="F23" s="28" t="s">
        <v>33</v>
      </c>
      <c r="G23" s="29">
        <v>9700</v>
      </c>
      <c r="H23" s="178">
        <v>0</v>
      </c>
      <c r="I23" s="231">
        <f t="shared" si="2"/>
        <v>9700</v>
      </c>
    </row>
    <row r="24" spans="1:9" s="1" customFormat="1" ht="15" thickBot="1" x14ac:dyDescent="0.4">
      <c r="A24" s="82">
        <v>15</v>
      </c>
      <c r="B24" s="326"/>
      <c r="C24" s="108">
        <v>43403</v>
      </c>
      <c r="D24" s="26">
        <v>830054076</v>
      </c>
      <c r="E24" s="27" t="str">
        <f>VLOOKUP(D24,[1]TERCEROS!$A$2:$C$4000,3,FALSE)</f>
        <v>FIDEICOMISOS SOCIEDAD FIDUCIARIA</v>
      </c>
      <c r="F24" s="28" t="s">
        <v>33</v>
      </c>
      <c r="G24" s="29">
        <v>9700</v>
      </c>
      <c r="H24" s="178">
        <v>0</v>
      </c>
      <c r="I24" s="231">
        <f t="shared" si="2"/>
        <v>9700</v>
      </c>
    </row>
    <row r="25" spans="1:9" s="1" customFormat="1" ht="15" thickBot="1" x14ac:dyDescent="0.4">
      <c r="A25" s="82">
        <v>16</v>
      </c>
      <c r="B25" s="326"/>
      <c r="C25" s="108">
        <v>43402</v>
      </c>
      <c r="D25" s="26">
        <v>830054076</v>
      </c>
      <c r="E25" s="27" t="str">
        <f>VLOOKUP(D25,[1]TERCEROS!$A$2:$C$4000,3,FALSE)</f>
        <v>FIDEICOMISOS SOCIEDAD FIDUCIARIA</v>
      </c>
      <c r="F25" s="28" t="s">
        <v>33</v>
      </c>
      <c r="G25" s="29">
        <v>9700</v>
      </c>
      <c r="H25" s="178">
        <v>0</v>
      </c>
      <c r="I25" s="231">
        <f t="shared" si="2"/>
        <v>9700</v>
      </c>
    </row>
    <row r="26" spans="1:9" s="1" customFormat="1" ht="15" thickBot="1" x14ac:dyDescent="0.4">
      <c r="A26" s="82">
        <v>17</v>
      </c>
      <c r="B26" s="326"/>
      <c r="C26" s="108">
        <v>43403</v>
      </c>
      <c r="D26" s="26">
        <v>830054076</v>
      </c>
      <c r="E26" s="27" t="str">
        <f>VLOOKUP(D26,[1]TERCEROS!$A$2:$C$4000,3,FALSE)</f>
        <v>FIDEICOMISOS SOCIEDAD FIDUCIARIA</v>
      </c>
      <c r="F26" s="28" t="s">
        <v>33</v>
      </c>
      <c r="G26" s="29">
        <v>9700</v>
      </c>
      <c r="H26" s="178">
        <v>0</v>
      </c>
      <c r="I26" s="231">
        <f t="shared" si="2"/>
        <v>9700</v>
      </c>
    </row>
    <row r="27" spans="1:9" s="1" customFormat="1" ht="15" thickBot="1" x14ac:dyDescent="0.4">
      <c r="A27" s="82">
        <v>18</v>
      </c>
      <c r="B27" s="326"/>
      <c r="C27" s="108">
        <v>43402</v>
      </c>
      <c r="D27" s="26">
        <v>830120433</v>
      </c>
      <c r="E27" s="27" t="str">
        <f>VLOOKUP(D27,[1]TERCEROS!$A$2:$C$4000,3,FALSE)</f>
        <v>VASQUEZ MORA ASOCIADOS LTDA</v>
      </c>
      <c r="F27" s="28" t="s">
        <v>272</v>
      </c>
      <c r="G27" s="29">
        <v>7300</v>
      </c>
      <c r="H27" s="178">
        <v>0</v>
      </c>
      <c r="I27" s="231">
        <f t="shared" si="2"/>
        <v>7300</v>
      </c>
    </row>
    <row r="28" spans="1:9" s="1" customFormat="1" ht="15" thickBot="1" x14ac:dyDescent="0.4">
      <c r="A28" s="82">
        <v>19</v>
      </c>
      <c r="B28" s="326"/>
      <c r="C28" s="108">
        <v>43402</v>
      </c>
      <c r="D28" s="26">
        <v>900380028</v>
      </c>
      <c r="E28" s="27" t="str">
        <f>VLOOKUP(D28,[1]TERCEROS!$A$2:$C$4000,3,FALSE)</f>
        <v>INMOBILIARIA CENTRO SAN MARTIN</v>
      </c>
      <c r="F28" s="28" t="s">
        <v>287</v>
      </c>
      <c r="G28" s="29">
        <v>5029</v>
      </c>
      <c r="H28" s="178">
        <f>+G28*19%</f>
        <v>955.51</v>
      </c>
      <c r="I28" s="231">
        <f t="shared" si="2"/>
        <v>5984.51</v>
      </c>
    </row>
    <row r="29" spans="1:9" s="1" customFormat="1" ht="15" thickBot="1" x14ac:dyDescent="0.4">
      <c r="A29" s="82">
        <v>20</v>
      </c>
      <c r="B29" s="326"/>
      <c r="C29" s="108">
        <v>43402</v>
      </c>
      <c r="D29" s="26">
        <v>830054076</v>
      </c>
      <c r="E29" s="27" t="str">
        <f>VLOOKUP(D29,[1]TERCEROS!$A$2:$C$4000,3,FALSE)</f>
        <v>FIDEICOMISOS SOCIEDAD FIDUCIARIA</v>
      </c>
      <c r="F29" s="28" t="s">
        <v>33</v>
      </c>
      <c r="G29" s="29">
        <v>9700</v>
      </c>
      <c r="H29" s="178">
        <v>0</v>
      </c>
      <c r="I29" s="231">
        <f t="shared" si="2"/>
        <v>9700</v>
      </c>
    </row>
    <row r="30" spans="1:9" s="1" customFormat="1" ht="15" thickBot="1" x14ac:dyDescent="0.4">
      <c r="A30" s="82">
        <v>21</v>
      </c>
      <c r="B30" s="326"/>
      <c r="C30" s="108">
        <v>43402</v>
      </c>
      <c r="D30" s="26">
        <v>860534221</v>
      </c>
      <c r="E30" s="27" t="str">
        <f>VLOOKUP(D30,[1]TERCEROS!$A$2:$C$4000,3,FALSE)</f>
        <v>PAN PA YA LTDA</v>
      </c>
      <c r="F30" s="28" t="s">
        <v>440</v>
      </c>
      <c r="G30" s="29">
        <v>14500</v>
      </c>
      <c r="H30" s="178">
        <v>0</v>
      </c>
      <c r="I30" s="231">
        <f t="shared" si="2"/>
        <v>14500</v>
      </c>
    </row>
    <row r="31" spans="1:9" s="1" customFormat="1" ht="15" thickBot="1" x14ac:dyDescent="0.4">
      <c r="A31" s="82">
        <v>22</v>
      </c>
      <c r="B31" s="326"/>
      <c r="C31" s="108">
        <v>43400</v>
      </c>
      <c r="D31" s="26">
        <v>830054076</v>
      </c>
      <c r="E31" s="27" t="str">
        <f>VLOOKUP(D31,[1]TERCEROS!$A$2:$C$4000,3,FALSE)</f>
        <v>FIDEICOMISOS SOCIEDAD FIDUCIARIA</v>
      </c>
      <c r="F31" s="28" t="s">
        <v>33</v>
      </c>
      <c r="G31" s="29">
        <v>9700</v>
      </c>
      <c r="H31" s="178">
        <v>0</v>
      </c>
      <c r="I31" s="231">
        <f t="shared" si="0"/>
        <v>9700</v>
      </c>
    </row>
    <row r="32" spans="1:9" s="1" customFormat="1" ht="15" thickBot="1" x14ac:dyDescent="0.4">
      <c r="A32" s="82">
        <v>23</v>
      </c>
      <c r="B32" s="326"/>
      <c r="C32" s="108">
        <v>43400</v>
      </c>
      <c r="D32" s="26">
        <v>830054076</v>
      </c>
      <c r="E32" s="27" t="str">
        <f>VLOOKUP(D32,[1]TERCEROS!$A$2:$C$4000,3,FALSE)</f>
        <v>FIDEICOMISOS SOCIEDAD FIDUCIARIA</v>
      </c>
      <c r="F32" s="28" t="s">
        <v>33</v>
      </c>
      <c r="G32" s="29">
        <v>11700</v>
      </c>
      <c r="H32" s="178">
        <v>0</v>
      </c>
      <c r="I32" s="231">
        <f t="shared" si="0"/>
        <v>11700</v>
      </c>
    </row>
    <row r="33" spans="1:9" s="1" customFormat="1" ht="15" thickBot="1" x14ac:dyDescent="0.4">
      <c r="A33" s="82">
        <v>24</v>
      </c>
      <c r="B33" s="326"/>
      <c r="C33" s="108">
        <v>43400</v>
      </c>
      <c r="D33" s="26">
        <v>830054076</v>
      </c>
      <c r="E33" s="27" t="str">
        <f>VLOOKUP(D33,[1]TERCEROS!$A$2:$C$4000,3,FALSE)</f>
        <v>FIDEICOMISOS SOCIEDAD FIDUCIARIA</v>
      </c>
      <c r="F33" s="28" t="s">
        <v>33</v>
      </c>
      <c r="G33" s="29">
        <v>7800</v>
      </c>
      <c r="H33" s="178">
        <v>0</v>
      </c>
      <c r="I33" s="231">
        <f t="shared" si="0"/>
        <v>7800</v>
      </c>
    </row>
    <row r="34" spans="1:9" s="1" customFormat="1" ht="15" thickBot="1" x14ac:dyDescent="0.4">
      <c r="A34" s="82">
        <v>25</v>
      </c>
      <c r="B34" s="326"/>
      <c r="C34" s="108">
        <v>43397</v>
      </c>
      <c r="D34" s="26">
        <v>830054076</v>
      </c>
      <c r="E34" s="27" t="str">
        <f>VLOOKUP(D34,[1]TERCEROS!$A$2:$C$4000,3,FALSE)</f>
        <v>FIDEICOMISOS SOCIEDAD FIDUCIARIA</v>
      </c>
      <c r="F34" s="28" t="s">
        <v>33</v>
      </c>
      <c r="G34" s="29">
        <v>9700</v>
      </c>
      <c r="H34" s="178">
        <v>0</v>
      </c>
      <c r="I34" s="231">
        <f t="shared" si="0"/>
        <v>9700</v>
      </c>
    </row>
    <row r="35" spans="1:9" s="1" customFormat="1" ht="15" thickBot="1" x14ac:dyDescent="0.4">
      <c r="A35" s="82">
        <v>26</v>
      </c>
      <c r="B35" s="326"/>
      <c r="C35" s="108">
        <v>43395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9700</v>
      </c>
      <c r="H35" s="178">
        <v>0</v>
      </c>
      <c r="I35" s="231">
        <f t="shared" si="0"/>
        <v>9700</v>
      </c>
    </row>
    <row r="36" spans="1:9" s="1" customFormat="1" ht="15" thickBot="1" x14ac:dyDescent="0.4">
      <c r="A36" s="82">
        <v>27</v>
      </c>
      <c r="B36" s="326"/>
      <c r="C36" s="108">
        <v>43393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178">
        <v>0</v>
      </c>
      <c r="I36" s="231">
        <f t="shared" si="0"/>
        <v>9700</v>
      </c>
    </row>
    <row r="37" spans="1:9" s="1" customFormat="1" ht="15" thickBot="1" x14ac:dyDescent="0.4">
      <c r="A37" s="82">
        <v>28</v>
      </c>
      <c r="B37" s="326"/>
      <c r="C37" s="108">
        <v>43391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9700</v>
      </c>
      <c r="H37" s="178">
        <v>0</v>
      </c>
      <c r="I37" s="231">
        <f t="shared" si="0"/>
        <v>9700</v>
      </c>
    </row>
    <row r="38" spans="1:9" s="1" customFormat="1" ht="15" thickBot="1" x14ac:dyDescent="0.4">
      <c r="A38" s="82">
        <v>29</v>
      </c>
      <c r="B38" s="326"/>
      <c r="C38" s="108">
        <v>43389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9700</v>
      </c>
      <c r="H38" s="178">
        <v>0</v>
      </c>
      <c r="I38" s="231">
        <f t="shared" si="0"/>
        <v>9700</v>
      </c>
    </row>
    <row r="39" spans="1:9" s="1" customFormat="1" ht="15" thickBot="1" x14ac:dyDescent="0.4">
      <c r="A39" s="82">
        <v>30</v>
      </c>
      <c r="B39" s="326"/>
      <c r="C39" s="108">
        <v>43388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9700</v>
      </c>
      <c r="H39" s="178">
        <v>0</v>
      </c>
      <c r="I39" s="231">
        <f t="shared" si="0"/>
        <v>9700</v>
      </c>
    </row>
    <row r="40" spans="1:9" s="1" customFormat="1" ht="15" thickBot="1" x14ac:dyDescent="0.4">
      <c r="A40" s="82">
        <v>31</v>
      </c>
      <c r="B40" s="326"/>
      <c r="C40" s="108">
        <v>43388</v>
      </c>
      <c r="D40" s="26">
        <v>830054076</v>
      </c>
      <c r="E40" s="27" t="str">
        <f>VLOOKUP(D40,[1]TERCEROS!$A$2:$C$4000,3,FALSE)</f>
        <v>FIDEICOMISOS SOCIEDAD FIDUCIARIA</v>
      </c>
      <c r="F40" s="28" t="s">
        <v>33</v>
      </c>
      <c r="G40" s="29">
        <v>9700</v>
      </c>
      <c r="H40" s="178">
        <v>0</v>
      </c>
      <c r="I40" s="231">
        <f t="shared" si="0"/>
        <v>9700</v>
      </c>
    </row>
    <row r="41" spans="1:9" s="1" customFormat="1" ht="15" thickBot="1" x14ac:dyDescent="0.4">
      <c r="A41" s="82">
        <v>32</v>
      </c>
      <c r="B41" s="326"/>
      <c r="C41" s="108">
        <v>43384</v>
      </c>
      <c r="D41" s="26">
        <v>830054076</v>
      </c>
      <c r="E41" s="27" t="str">
        <f>VLOOKUP(D41,[1]TERCEROS!$A$2:$C$4000,3,FALSE)</f>
        <v>FIDEICOMISOS SOCIEDAD FIDUCIARIA</v>
      </c>
      <c r="F41" s="28" t="s">
        <v>33</v>
      </c>
      <c r="G41" s="29">
        <v>9700</v>
      </c>
      <c r="H41" s="178">
        <v>0</v>
      </c>
      <c r="I41" s="231">
        <f t="shared" si="0"/>
        <v>9700</v>
      </c>
    </row>
    <row r="42" spans="1:9" s="1" customFormat="1" ht="15" thickBot="1" x14ac:dyDescent="0.4">
      <c r="A42" s="82">
        <v>33</v>
      </c>
      <c r="B42" s="326"/>
      <c r="C42" s="108">
        <v>43383</v>
      </c>
      <c r="D42" s="26">
        <v>830054076</v>
      </c>
      <c r="E42" s="27" t="str">
        <f>VLOOKUP(D42,[1]TERCEROS!$A$2:$C$4000,3,FALSE)</f>
        <v>FIDEICOMISOS SOCIEDAD FIDUCIARIA</v>
      </c>
      <c r="F42" s="28" t="s">
        <v>33</v>
      </c>
      <c r="G42" s="29">
        <v>9700</v>
      </c>
      <c r="H42" s="178">
        <v>0</v>
      </c>
      <c r="I42" s="231">
        <f t="shared" si="0"/>
        <v>9700</v>
      </c>
    </row>
    <row r="43" spans="1:9" s="1" customFormat="1" ht="15" thickBot="1" x14ac:dyDescent="0.4">
      <c r="A43" s="82">
        <v>34</v>
      </c>
      <c r="B43" s="326"/>
      <c r="C43" s="108">
        <v>43382</v>
      </c>
      <c r="D43" s="26">
        <v>830054076</v>
      </c>
      <c r="E43" s="27" t="str">
        <f>VLOOKUP(D43,[1]TERCEROS!$A$2:$C$4000,3,FALSE)</f>
        <v>FIDEICOMISOS SOCIEDAD FIDUCIARIA</v>
      </c>
      <c r="F43" s="28" t="s">
        <v>33</v>
      </c>
      <c r="G43" s="29">
        <v>9700</v>
      </c>
      <c r="H43" s="178">
        <v>0</v>
      </c>
      <c r="I43" s="231">
        <f t="shared" si="0"/>
        <v>9700</v>
      </c>
    </row>
    <row r="44" spans="1:9" s="1" customFormat="1" ht="15" thickBot="1" x14ac:dyDescent="0.4">
      <c r="A44" s="82">
        <v>35</v>
      </c>
      <c r="B44" s="326"/>
      <c r="C44" s="108">
        <v>43382</v>
      </c>
      <c r="D44" s="26">
        <v>830054076</v>
      </c>
      <c r="E44" s="27" t="str">
        <f>VLOOKUP(D44,[1]TERCEROS!$A$2:$C$4000,3,FALSE)</f>
        <v>FIDEICOMISOS SOCIEDAD FIDUCIARIA</v>
      </c>
      <c r="F44" s="28" t="s">
        <v>33</v>
      </c>
      <c r="G44" s="29">
        <v>9700</v>
      </c>
      <c r="H44" s="178">
        <v>0</v>
      </c>
      <c r="I44" s="231">
        <f t="shared" si="0"/>
        <v>9700</v>
      </c>
    </row>
    <row r="45" spans="1:9" s="1" customFormat="1" ht="15" thickBot="1" x14ac:dyDescent="0.4">
      <c r="A45" s="82">
        <v>36</v>
      </c>
      <c r="B45" s="326"/>
      <c r="C45" s="108">
        <v>43377</v>
      </c>
      <c r="D45" s="26">
        <v>830054076</v>
      </c>
      <c r="E45" s="27" t="str">
        <f>VLOOKUP(D45,[1]TERCEROS!$A$2:$C$4000,3,FALSE)</f>
        <v>FIDEICOMISOS SOCIEDAD FIDUCIARIA</v>
      </c>
      <c r="F45" s="28" t="s">
        <v>33</v>
      </c>
      <c r="G45" s="29">
        <v>9700</v>
      </c>
      <c r="H45" s="178">
        <v>0</v>
      </c>
      <c r="I45" s="231">
        <f t="shared" si="0"/>
        <v>9700</v>
      </c>
    </row>
    <row r="46" spans="1:9" s="1" customFormat="1" ht="15" thickBot="1" x14ac:dyDescent="0.4">
      <c r="A46" s="82">
        <v>37</v>
      </c>
      <c r="B46" s="326"/>
      <c r="C46" s="108">
        <v>43374</v>
      </c>
      <c r="D46" s="26">
        <v>830054076</v>
      </c>
      <c r="E46" s="27" t="str">
        <f>VLOOKUP(D46,[1]TERCEROS!$A$2:$C$4000,3,FALSE)</f>
        <v>FIDEICOMISOS SOCIEDAD FIDUCIARIA</v>
      </c>
      <c r="F46" s="28" t="s">
        <v>33</v>
      </c>
      <c r="G46" s="29">
        <v>9700</v>
      </c>
      <c r="H46" s="178">
        <v>0</v>
      </c>
      <c r="I46" s="231">
        <f t="shared" si="0"/>
        <v>9700</v>
      </c>
    </row>
    <row r="47" spans="1:9" s="1" customFormat="1" ht="15" thickBot="1" x14ac:dyDescent="0.4">
      <c r="A47" s="82">
        <v>38</v>
      </c>
      <c r="B47" s="326"/>
      <c r="C47" s="108">
        <v>43373</v>
      </c>
      <c r="D47" s="26">
        <v>830054076</v>
      </c>
      <c r="E47" s="27" t="str">
        <f>VLOOKUP(D47,[1]TERCEROS!$A$2:$C$4000,3,FALSE)</f>
        <v>FIDEICOMISOS SOCIEDAD FIDUCIARIA</v>
      </c>
      <c r="F47" s="28" t="s">
        <v>33</v>
      </c>
      <c r="G47" s="29">
        <v>9700</v>
      </c>
      <c r="H47" s="178">
        <v>0</v>
      </c>
      <c r="I47" s="231">
        <f t="shared" si="0"/>
        <v>9700</v>
      </c>
    </row>
    <row r="48" spans="1:9" s="1" customFormat="1" ht="15" thickBot="1" x14ac:dyDescent="0.4">
      <c r="A48" s="82">
        <v>39</v>
      </c>
      <c r="B48" s="326"/>
      <c r="C48" s="108">
        <v>43400</v>
      </c>
      <c r="D48" s="26">
        <v>830054076</v>
      </c>
      <c r="E48" s="27" t="str">
        <f>VLOOKUP(D48,[1]TERCEROS!$A$2:$C$4000,3,FALSE)</f>
        <v>FIDEICOMISOS SOCIEDAD FIDUCIARIA</v>
      </c>
      <c r="F48" s="28" t="s">
        <v>33</v>
      </c>
      <c r="G48" s="29">
        <v>9700</v>
      </c>
      <c r="H48" s="178">
        <v>0</v>
      </c>
      <c r="I48" s="231">
        <f t="shared" si="0"/>
        <v>9700</v>
      </c>
    </row>
    <row r="49" spans="1:12" s="1" customFormat="1" ht="15" thickBot="1" x14ac:dyDescent="0.4">
      <c r="A49" s="82">
        <v>40</v>
      </c>
      <c r="B49" s="326"/>
      <c r="C49" s="108">
        <v>43325</v>
      </c>
      <c r="D49" s="26">
        <v>830054076</v>
      </c>
      <c r="E49" s="27" t="str">
        <f>VLOOKUP(D49,[1]TERCEROS!$A$2:$C$4000,3,FALSE)</f>
        <v>FIDEICOMISOS SOCIEDAD FIDUCIARIA</v>
      </c>
      <c r="F49" s="28" t="s">
        <v>33</v>
      </c>
      <c r="G49" s="29">
        <v>9700</v>
      </c>
      <c r="H49" s="178">
        <v>0</v>
      </c>
      <c r="I49" s="231">
        <f t="shared" si="0"/>
        <v>9700</v>
      </c>
    </row>
    <row r="50" spans="1:12" s="1" customFormat="1" ht="15" thickBot="1" x14ac:dyDescent="0.4">
      <c r="A50" s="82">
        <v>41</v>
      </c>
      <c r="B50" s="326"/>
      <c r="C50" s="108">
        <v>43400</v>
      </c>
      <c r="D50" s="26">
        <v>830054076</v>
      </c>
      <c r="E50" s="27" t="str">
        <f>VLOOKUP(D50,[1]TERCEROS!$A$2:$C$4000,3,FALSE)</f>
        <v>FIDEICOMISOS SOCIEDAD FIDUCIARIA</v>
      </c>
      <c r="F50" s="28" t="s">
        <v>33</v>
      </c>
      <c r="G50" s="29">
        <v>9700</v>
      </c>
      <c r="H50" s="178">
        <v>0</v>
      </c>
      <c r="I50" s="231">
        <f t="shared" si="0"/>
        <v>9700</v>
      </c>
    </row>
    <row r="51" spans="1:12" s="1" customFormat="1" ht="15" thickBot="1" x14ac:dyDescent="0.4">
      <c r="A51" s="82">
        <v>42</v>
      </c>
      <c r="B51" s="326"/>
      <c r="C51" s="108">
        <v>43399</v>
      </c>
      <c r="D51" s="26">
        <v>830054076</v>
      </c>
      <c r="E51" s="27" t="str">
        <f>VLOOKUP(D51,[1]TERCEROS!$A$2:$C$4000,3,FALSE)</f>
        <v>FIDEICOMISOS SOCIEDAD FIDUCIARIA</v>
      </c>
      <c r="F51" s="28" t="s">
        <v>33</v>
      </c>
      <c r="G51" s="29">
        <v>9700</v>
      </c>
      <c r="H51" s="178">
        <v>0</v>
      </c>
      <c r="I51" s="231">
        <f t="shared" si="0"/>
        <v>9700</v>
      </c>
    </row>
    <row r="52" spans="1:12" s="1" customFormat="1" ht="15" thickBot="1" x14ac:dyDescent="0.4">
      <c r="A52" s="82">
        <v>43</v>
      </c>
      <c r="B52" s="326"/>
      <c r="C52" s="108">
        <v>43398</v>
      </c>
      <c r="D52" s="26">
        <v>830054076</v>
      </c>
      <c r="E52" s="27" t="str">
        <f>VLOOKUP(D52,[1]TERCEROS!$A$2:$C$4000,3,FALSE)</f>
        <v>FIDEICOMISOS SOCIEDAD FIDUCIARIA</v>
      </c>
      <c r="F52" s="28" t="s">
        <v>33</v>
      </c>
      <c r="G52" s="29">
        <v>9700</v>
      </c>
      <c r="H52" s="178">
        <v>0</v>
      </c>
      <c r="I52" s="231">
        <f t="shared" si="0"/>
        <v>9700</v>
      </c>
    </row>
    <row r="53" spans="1:12" s="1" customFormat="1" ht="15" thickBot="1" x14ac:dyDescent="0.4">
      <c r="A53" s="82">
        <v>44</v>
      </c>
      <c r="B53" s="326"/>
      <c r="C53" s="108">
        <v>43397</v>
      </c>
      <c r="D53" s="26">
        <v>830054076</v>
      </c>
      <c r="E53" s="27" t="str">
        <f>VLOOKUP(D53,[1]TERCEROS!$A$2:$C$4000,3,FALSE)</f>
        <v>FIDEICOMISOS SOCIEDAD FIDUCIARIA</v>
      </c>
      <c r="F53" s="28" t="s">
        <v>33</v>
      </c>
      <c r="G53" s="29">
        <v>9700</v>
      </c>
      <c r="H53" s="178">
        <v>0</v>
      </c>
      <c r="I53" s="231">
        <f t="shared" si="0"/>
        <v>9700</v>
      </c>
    </row>
    <row r="54" spans="1:12" s="1" customFormat="1" ht="15" thickBot="1" x14ac:dyDescent="0.4">
      <c r="A54" s="82">
        <v>45</v>
      </c>
      <c r="B54" s="326"/>
      <c r="C54" s="108">
        <v>43398</v>
      </c>
      <c r="D54" s="26">
        <v>830054076</v>
      </c>
      <c r="E54" s="27" t="str">
        <f>VLOOKUP(D54,[1]TERCEROS!$A$2:$C$4000,3,FALSE)</f>
        <v>FIDEICOMISOS SOCIEDAD FIDUCIARIA</v>
      </c>
      <c r="F54" s="28" t="s">
        <v>33</v>
      </c>
      <c r="G54" s="29">
        <v>9700</v>
      </c>
      <c r="H54" s="178">
        <v>0</v>
      </c>
      <c r="I54" s="231">
        <f t="shared" si="0"/>
        <v>9700</v>
      </c>
    </row>
    <row r="55" spans="1:12" s="1" customFormat="1" ht="15" thickBot="1" x14ac:dyDescent="0.4">
      <c r="A55" s="82">
        <v>46</v>
      </c>
      <c r="B55" s="326"/>
      <c r="C55" s="108">
        <v>43397</v>
      </c>
      <c r="D55" s="26">
        <v>830054076</v>
      </c>
      <c r="E55" s="27" t="str">
        <f>VLOOKUP(D55,[1]TERCEROS!$A$2:$C$4000,3,FALSE)</f>
        <v>FIDEICOMISOS SOCIEDAD FIDUCIARIA</v>
      </c>
      <c r="F55" s="28" t="s">
        <v>33</v>
      </c>
      <c r="G55" s="29">
        <v>9700</v>
      </c>
      <c r="H55" s="178">
        <v>0</v>
      </c>
      <c r="I55" s="231">
        <f t="shared" si="0"/>
        <v>9700</v>
      </c>
    </row>
    <row r="56" spans="1:12" s="1" customFormat="1" ht="15" thickBot="1" x14ac:dyDescent="0.4">
      <c r="A56" s="82">
        <v>47</v>
      </c>
      <c r="B56" s="326"/>
      <c r="C56" s="108">
        <v>43396</v>
      </c>
      <c r="D56" s="26">
        <v>830054076</v>
      </c>
      <c r="E56" s="27" t="str">
        <f>VLOOKUP(D56,[1]TERCEROS!$A$2:$C$4000,3,FALSE)</f>
        <v>FIDEICOMISOS SOCIEDAD FIDUCIARIA</v>
      </c>
      <c r="F56" s="28" t="s">
        <v>33</v>
      </c>
      <c r="G56" s="29">
        <v>9700</v>
      </c>
      <c r="H56" s="178">
        <v>0</v>
      </c>
      <c r="I56" s="231">
        <f t="shared" si="0"/>
        <v>9700</v>
      </c>
    </row>
    <row r="57" spans="1:12" s="1" customFormat="1" ht="15" thickBot="1" x14ac:dyDescent="0.4">
      <c r="A57" s="82">
        <v>48</v>
      </c>
      <c r="B57" s="326"/>
      <c r="C57" s="108">
        <v>43396</v>
      </c>
      <c r="D57" s="26">
        <v>830054076</v>
      </c>
      <c r="E57" s="27" t="str">
        <f>VLOOKUP(D57,[1]TERCEROS!$A$2:$C$4000,3,FALSE)</f>
        <v>FIDEICOMISOS SOCIEDAD FIDUCIARIA</v>
      </c>
      <c r="F57" s="28" t="s">
        <v>33</v>
      </c>
      <c r="G57" s="29">
        <v>9700</v>
      </c>
      <c r="H57" s="178">
        <v>0</v>
      </c>
      <c r="I57" s="231">
        <f t="shared" si="0"/>
        <v>9700</v>
      </c>
    </row>
    <row r="58" spans="1:12" s="1" customFormat="1" ht="15" thickBot="1" x14ac:dyDescent="0.4">
      <c r="A58" s="82">
        <v>49</v>
      </c>
      <c r="B58" s="326"/>
      <c r="C58" s="108">
        <v>43399</v>
      </c>
      <c r="D58" s="26">
        <v>830054076</v>
      </c>
      <c r="E58" s="27" t="str">
        <f>VLOOKUP(D58,[1]TERCEROS!$A$2:$C$4000,3,FALSE)</f>
        <v>FIDEICOMISOS SOCIEDAD FIDUCIARIA</v>
      </c>
      <c r="F58" s="28" t="s">
        <v>33</v>
      </c>
      <c r="G58" s="29">
        <v>9700</v>
      </c>
      <c r="H58" s="178">
        <v>0</v>
      </c>
      <c r="I58" s="231">
        <f t="shared" si="0"/>
        <v>9700</v>
      </c>
    </row>
    <row r="59" spans="1:12" s="1" customFormat="1" ht="15" thickBot="1" x14ac:dyDescent="0.4">
      <c r="A59" s="82">
        <v>50</v>
      </c>
      <c r="B59" s="326"/>
      <c r="C59" s="108">
        <v>43400</v>
      </c>
      <c r="D59" s="26">
        <v>830054076</v>
      </c>
      <c r="E59" s="27" t="str">
        <f>VLOOKUP(D59,[1]TERCEROS!$A$2:$C$4000,3,FALSE)</f>
        <v>FIDEICOMISOS SOCIEDAD FIDUCIARIA</v>
      </c>
      <c r="F59" s="28" t="s">
        <v>33</v>
      </c>
      <c r="G59" s="29">
        <v>9700</v>
      </c>
      <c r="H59" s="178">
        <v>0</v>
      </c>
      <c r="I59" s="231">
        <f t="shared" si="0"/>
        <v>9700</v>
      </c>
    </row>
    <row r="60" spans="1:12" s="1" customFormat="1" ht="15" thickBot="1" x14ac:dyDescent="0.4">
      <c r="A60" s="82">
        <v>51</v>
      </c>
      <c r="B60" s="326"/>
      <c r="C60" s="108">
        <v>43400</v>
      </c>
      <c r="D60" s="26">
        <v>830054076</v>
      </c>
      <c r="E60" s="27" t="str">
        <f>VLOOKUP(D60,[1]TERCEROS!$A$2:$C$4000,3,FALSE)</f>
        <v>FIDEICOMISOS SOCIEDAD FIDUCIARIA</v>
      </c>
      <c r="F60" s="28" t="s">
        <v>33</v>
      </c>
      <c r="G60" s="29">
        <v>9700</v>
      </c>
      <c r="H60" s="178">
        <v>0</v>
      </c>
      <c r="I60" s="231">
        <f t="shared" si="0"/>
        <v>9700</v>
      </c>
    </row>
    <row r="61" spans="1:12" s="1" customFormat="1" ht="15" thickBot="1" x14ac:dyDescent="0.4">
      <c r="A61" s="82">
        <v>52</v>
      </c>
      <c r="B61" s="326"/>
      <c r="C61" s="108">
        <v>43399</v>
      </c>
      <c r="D61" s="26">
        <v>830054076</v>
      </c>
      <c r="E61" s="27" t="str">
        <f>VLOOKUP(D61,[1]TERCEROS!$A$2:$C$4000,3,FALSE)</f>
        <v>FIDEICOMISOS SOCIEDAD FIDUCIARIA</v>
      </c>
      <c r="F61" s="28" t="s">
        <v>33</v>
      </c>
      <c r="G61" s="29">
        <v>9700</v>
      </c>
      <c r="H61" s="178">
        <v>0</v>
      </c>
      <c r="I61" s="231">
        <f t="shared" si="0"/>
        <v>9700</v>
      </c>
      <c r="L61" s="210">
        <f>+G61*19%</f>
        <v>1843</v>
      </c>
    </row>
    <row r="62" spans="1:12" s="1" customFormat="1" ht="15" thickBot="1" x14ac:dyDescent="0.4">
      <c r="A62" s="82">
        <v>53</v>
      </c>
      <c r="B62" s="326"/>
      <c r="C62" s="108">
        <v>43400</v>
      </c>
      <c r="D62" s="26">
        <v>830054076</v>
      </c>
      <c r="E62" s="27" t="str">
        <f>VLOOKUP(D62,[1]TERCEROS!$A$2:$C$4000,3,FALSE)</f>
        <v>FIDEICOMISOS SOCIEDAD FIDUCIARIA</v>
      </c>
      <c r="F62" s="28" t="s">
        <v>33</v>
      </c>
      <c r="G62" s="29">
        <v>9700</v>
      </c>
      <c r="H62" s="178">
        <v>0</v>
      </c>
      <c r="I62" s="231">
        <f t="shared" si="0"/>
        <v>9700</v>
      </c>
    </row>
    <row r="63" spans="1:12" s="1" customFormat="1" ht="15" thickBot="1" x14ac:dyDescent="0.4">
      <c r="A63" s="82">
        <v>54</v>
      </c>
      <c r="B63" s="326"/>
      <c r="C63" s="108">
        <v>43401</v>
      </c>
      <c r="D63" s="26">
        <v>222222222</v>
      </c>
      <c r="E63" s="27" t="str">
        <f>VLOOKUP(D63,[1]TERCEROS!$A$2:$C$4000,3,FALSE)</f>
        <v>CUANTIAS MINIMAS</v>
      </c>
      <c r="F63" s="28" t="s">
        <v>419</v>
      </c>
      <c r="G63" s="29">
        <v>37200</v>
      </c>
      <c r="H63" s="178">
        <v>0</v>
      </c>
      <c r="I63" s="231">
        <f t="shared" si="0"/>
        <v>37200</v>
      </c>
    </row>
    <row r="64" spans="1:12" s="1" customFormat="1" ht="15" thickBot="1" x14ac:dyDescent="0.4">
      <c r="A64" s="82">
        <v>55</v>
      </c>
      <c r="B64" s="326"/>
      <c r="C64" s="108">
        <v>43399</v>
      </c>
      <c r="D64" s="26">
        <v>1067860210</v>
      </c>
      <c r="E64" s="27" t="str">
        <f>VLOOKUP(D64,[1]TERCEROS!$A$2:$C$4000,3,FALSE)</f>
        <v>CARLOS ALBERTO AREVALO YEPES</v>
      </c>
      <c r="F64" s="28" t="s">
        <v>48</v>
      </c>
      <c r="G64" s="29">
        <v>20000</v>
      </c>
      <c r="H64" s="178">
        <v>0</v>
      </c>
      <c r="I64" s="231">
        <f t="shared" si="0"/>
        <v>20000</v>
      </c>
    </row>
    <row r="65" spans="1:9" s="1" customFormat="1" ht="15" thickBot="1" x14ac:dyDescent="0.4">
      <c r="A65" s="82">
        <v>56</v>
      </c>
      <c r="B65" s="326"/>
      <c r="C65" s="108">
        <v>43396</v>
      </c>
      <c r="D65" s="26">
        <v>1067860210</v>
      </c>
      <c r="E65" s="27" t="str">
        <f>VLOOKUP(D65,[1]TERCEROS!$A$2:$C$4000,3,FALSE)</f>
        <v>CARLOS ALBERTO AREVALO YEPES</v>
      </c>
      <c r="F65" s="28" t="s">
        <v>48</v>
      </c>
      <c r="G65" s="29">
        <v>20000</v>
      </c>
      <c r="H65" s="178">
        <v>0</v>
      </c>
      <c r="I65" s="231">
        <f t="shared" si="0"/>
        <v>20000</v>
      </c>
    </row>
    <row r="66" spans="1:9" s="1" customFormat="1" ht="15" thickBot="1" x14ac:dyDescent="0.4">
      <c r="A66" s="82">
        <v>57</v>
      </c>
      <c r="B66" s="326"/>
      <c r="C66" s="108">
        <v>43406</v>
      </c>
      <c r="D66" s="26">
        <v>72151045</v>
      </c>
      <c r="E66" s="27" t="str">
        <f>VLOOKUP(D66,[1]TERCEROS!$A$2:$C$4000,3,FALSE)</f>
        <v>EDINSON ROMERO</v>
      </c>
      <c r="F66" s="28" t="s">
        <v>48</v>
      </c>
      <c r="G66" s="29">
        <v>12000</v>
      </c>
      <c r="H66" s="178">
        <v>0</v>
      </c>
      <c r="I66" s="231">
        <f t="shared" si="0"/>
        <v>12000</v>
      </c>
    </row>
    <row r="67" spans="1:9" s="1" customFormat="1" ht="15" thickBot="1" x14ac:dyDescent="0.4">
      <c r="A67" s="82">
        <v>58</v>
      </c>
      <c r="B67" s="326"/>
      <c r="C67" s="108">
        <v>43400</v>
      </c>
      <c r="D67" s="26">
        <v>11202446</v>
      </c>
      <c r="E67" s="27" t="str">
        <f>VLOOKUP(D67,[1]TERCEROS!$A$2:$C$4000,3,FALSE)</f>
        <v>CARLOS EMILIANO MARTINEZ CRISTANCHO</v>
      </c>
      <c r="F67" s="28" t="s">
        <v>48</v>
      </c>
      <c r="G67" s="29">
        <v>30000</v>
      </c>
      <c r="H67" s="178">
        <v>0</v>
      </c>
      <c r="I67" s="231">
        <f t="shared" si="0"/>
        <v>30000</v>
      </c>
    </row>
    <row r="68" spans="1:9" s="1" customFormat="1" ht="15" thickBot="1" x14ac:dyDescent="0.4">
      <c r="A68" s="82">
        <v>59</v>
      </c>
      <c r="B68" s="326"/>
      <c r="C68" s="108">
        <v>43404</v>
      </c>
      <c r="D68" s="26">
        <v>11202446</v>
      </c>
      <c r="E68" s="27" t="str">
        <f>VLOOKUP(D68,[1]TERCEROS!$A$2:$C$4000,3,FALSE)</f>
        <v>CARLOS EMILIANO MARTINEZ CRISTANCHO</v>
      </c>
      <c r="F68" s="28" t="s">
        <v>48</v>
      </c>
      <c r="G68" s="29">
        <v>100000</v>
      </c>
      <c r="H68" s="178">
        <v>0</v>
      </c>
      <c r="I68" s="231">
        <f t="shared" si="0"/>
        <v>100000</v>
      </c>
    </row>
    <row r="69" spans="1:9" s="1" customFormat="1" ht="15" thickBot="1" x14ac:dyDescent="0.4">
      <c r="A69" s="82">
        <v>60</v>
      </c>
      <c r="B69" s="326"/>
      <c r="C69" s="108">
        <v>43396</v>
      </c>
      <c r="D69" s="26">
        <v>11442335</v>
      </c>
      <c r="E69" s="27" t="s">
        <v>420</v>
      </c>
      <c r="F69" s="28" t="s">
        <v>68</v>
      </c>
      <c r="G69" s="29">
        <v>35000</v>
      </c>
      <c r="H69" s="178">
        <v>0</v>
      </c>
      <c r="I69" s="231">
        <f t="shared" si="0"/>
        <v>35000</v>
      </c>
    </row>
    <row r="70" spans="1:9" s="1" customFormat="1" ht="15" thickBot="1" x14ac:dyDescent="0.4">
      <c r="A70" s="82">
        <v>61</v>
      </c>
      <c r="B70" s="326"/>
      <c r="C70" s="108">
        <v>43406</v>
      </c>
      <c r="D70" s="26">
        <v>53039738</v>
      </c>
      <c r="E70" s="27" t="str">
        <f>VLOOKUP(D70,[1]TERCEROS!$A$2:$C$4000,3,FALSE)</f>
        <v>GINNA PAOLA SUAREZ CASTELLANOS</v>
      </c>
      <c r="F70" s="28" t="s">
        <v>48</v>
      </c>
      <c r="G70" s="29">
        <v>17000</v>
      </c>
      <c r="H70" s="178">
        <v>0</v>
      </c>
      <c r="I70" s="231">
        <f t="shared" si="0"/>
        <v>17000</v>
      </c>
    </row>
    <row r="71" spans="1:9" s="1" customFormat="1" ht="15" thickBot="1" x14ac:dyDescent="0.4">
      <c r="A71" s="82">
        <v>62</v>
      </c>
      <c r="B71" s="326"/>
      <c r="C71" s="108">
        <v>43405</v>
      </c>
      <c r="D71" s="26">
        <v>890900608</v>
      </c>
      <c r="E71" s="27" t="str">
        <f>VLOOKUP(D71,[1]TERCEROS!$A$2:$C$4000,3,FALSE)</f>
        <v>ALMACENES EXITO SA</v>
      </c>
      <c r="F71" s="28" t="s">
        <v>421</v>
      </c>
      <c r="G71" s="29">
        <v>100000</v>
      </c>
      <c r="H71" s="178">
        <v>0</v>
      </c>
      <c r="I71" s="231">
        <f t="shared" si="0"/>
        <v>100000</v>
      </c>
    </row>
    <row r="72" spans="1:9" s="1" customFormat="1" ht="15" thickBot="1" x14ac:dyDescent="0.4">
      <c r="A72" s="82">
        <v>63</v>
      </c>
      <c r="B72" s="326"/>
      <c r="C72" s="108">
        <v>43405</v>
      </c>
      <c r="D72" s="26">
        <v>890900608</v>
      </c>
      <c r="E72" s="27" t="str">
        <f>VLOOKUP(D72,[1]TERCEROS!$A$2:$C$4000,3,FALSE)</f>
        <v>ALMACENES EXITO SA</v>
      </c>
      <c r="F72" s="28" t="s">
        <v>421</v>
      </c>
      <c r="G72" s="29">
        <v>100000</v>
      </c>
      <c r="H72" s="178">
        <v>0</v>
      </c>
      <c r="I72" s="231">
        <f t="shared" si="0"/>
        <v>100000</v>
      </c>
    </row>
    <row r="73" spans="1:9" s="1" customFormat="1" ht="15" thickBot="1" x14ac:dyDescent="0.4">
      <c r="A73" s="82">
        <v>64</v>
      </c>
      <c r="B73" s="326"/>
      <c r="C73" s="108">
        <v>43405</v>
      </c>
      <c r="D73" s="26">
        <v>800091165</v>
      </c>
      <c r="E73" s="27" t="s">
        <v>69</v>
      </c>
      <c r="F73" s="28" t="s">
        <v>287</v>
      </c>
      <c r="G73" s="29">
        <v>6000</v>
      </c>
      <c r="H73" s="178">
        <v>0</v>
      </c>
      <c r="I73" s="231">
        <f t="shared" si="0"/>
        <v>6000</v>
      </c>
    </row>
    <row r="74" spans="1:9" s="1" customFormat="1" ht="15" thickBot="1" x14ac:dyDescent="0.4">
      <c r="A74" s="82">
        <v>65</v>
      </c>
      <c r="B74" s="326"/>
      <c r="C74" s="108">
        <v>43405</v>
      </c>
      <c r="D74" s="26">
        <v>830054076</v>
      </c>
      <c r="E74" s="27" t="str">
        <f>VLOOKUP(D74,[1]TERCEROS!$A$2:$C$4000,3,FALSE)</f>
        <v>FIDEICOMISOS SOCIEDAD FIDUCIARIA</v>
      </c>
      <c r="F74" s="28" t="s">
        <v>33</v>
      </c>
      <c r="G74" s="29">
        <v>9700</v>
      </c>
      <c r="H74" s="178">
        <v>0</v>
      </c>
      <c r="I74" s="231">
        <f t="shared" si="0"/>
        <v>9700</v>
      </c>
    </row>
    <row r="75" spans="1:9" s="1" customFormat="1" ht="15" thickBot="1" x14ac:dyDescent="0.4">
      <c r="A75" s="82">
        <v>66</v>
      </c>
      <c r="B75" s="326"/>
      <c r="C75" s="108">
        <v>43406</v>
      </c>
      <c r="D75" s="26">
        <v>830054076</v>
      </c>
      <c r="E75" s="27" t="str">
        <f>VLOOKUP(D75,[1]TERCEROS!$A$2:$C$4000,3,FALSE)</f>
        <v>FIDEICOMISOS SOCIEDAD FIDUCIARIA</v>
      </c>
      <c r="F75" s="28" t="s">
        <v>33</v>
      </c>
      <c r="G75" s="29">
        <v>9700</v>
      </c>
      <c r="H75" s="178">
        <v>0</v>
      </c>
      <c r="I75" s="231">
        <f t="shared" si="0"/>
        <v>9700</v>
      </c>
    </row>
    <row r="76" spans="1:9" s="1" customFormat="1" ht="15" thickBot="1" x14ac:dyDescent="0.4">
      <c r="A76" s="82">
        <v>67</v>
      </c>
      <c r="B76" s="326"/>
      <c r="C76" s="108">
        <v>43405</v>
      </c>
      <c r="D76" s="26">
        <v>900335241</v>
      </c>
      <c r="E76" s="27" t="str">
        <f>VLOOKUP(D76,[1]TERCEROS!$A$2:$C$4000,3,FALSE)</f>
        <v>MIS CARNES PARRILLA S.A.S</v>
      </c>
      <c r="F76" s="28" t="s">
        <v>230</v>
      </c>
      <c r="G76" s="29">
        <v>16700</v>
      </c>
      <c r="H76" s="178">
        <v>0</v>
      </c>
      <c r="I76" s="231">
        <f t="shared" si="0"/>
        <v>16700</v>
      </c>
    </row>
    <row r="77" spans="1:9" s="1" customFormat="1" ht="15" thickBot="1" x14ac:dyDescent="0.4">
      <c r="A77" s="82">
        <v>68</v>
      </c>
      <c r="B77" s="326"/>
      <c r="C77" s="108">
        <v>43402</v>
      </c>
      <c r="D77" s="26">
        <v>222222222</v>
      </c>
      <c r="E77" s="27" t="str">
        <f>VLOOKUP(D77,[1]TERCEROS!$A$2:$C$4000,3,FALSE)</f>
        <v>CUANTIAS MINIMAS</v>
      </c>
      <c r="F77" s="28" t="s">
        <v>230</v>
      </c>
      <c r="G77" s="29">
        <v>8000</v>
      </c>
      <c r="H77" s="178">
        <v>0</v>
      </c>
      <c r="I77" s="231">
        <f t="shared" si="0"/>
        <v>8000</v>
      </c>
    </row>
    <row r="78" spans="1:9" s="1" customFormat="1" ht="15" thickBot="1" x14ac:dyDescent="0.4">
      <c r="A78" s="82">
        <v>69</v>
      </c>
      <c r="B78" s="326"/>
      <c r="C78" s="108">
        <v>43395</v>
      </c>
      <c r="D78" s="26">
        <v>830054076</v>
      </c>
      <c r="E78" s="27" t="str">
        <f>VLOOKUP(D78,[1]TERCEROS!$A$2:$C$4000,3,FALSE)</f>
        <v>FIDEICOMISOS SOCIEDAD FIDUCIARIA</v>
      </c>
      <c r="F78" s="28" t="s">
        <v>33</v>
      </c>
      <c r="G78" s="29">
        <v>9700</v>
      </c>
      <c r="H78" s="178">
        <v>0</v>
      </c>
      <c r="I78" s="231">
        <f t="shared" si="0"/>
        <v>9700</v>
      </c>
    </row>
    <row r="79" spans="1:9" s="1" customFormat="1" ht="15" thickBot="1" x14ac:dyDescent="0.4">
      <c r="A79" s="82">
        <v>70</v>
      </c>
      <c r="B79" s="326"/>
      <c r="C79" s="108">
        <v>43395</v>
      </c>
      <c r="D79" s="26">
        <v>830054076</v>
      </c>
      <c r="E79" s="27" t="str">
        <f>VLOOKUP(D79,[1]TERCEROS!$A$2:$C$4000,3,FALSE)</f>
        <v>FIDEICOMISOS SOCIEDAD FIDUCIARIA</v>
      </c>
      <c r="F79" s="28" t="s">
        <v>33</v>
      </c>
      <c r="G79" s="29">
        <v>9700</v>
      </c>
      <c r="H79" s="178">
        <v>0</v>
      </c>
      <c r="I79" s="231">
        <f t="shared" si="0"/>
        <v>9700</v>
      </c>
    </row>
    <row r="80" spans="1:9" s="1" customFormat="1" ht="15" thickBot="1" x14ac:dyDescent="0.4">
      <c r="A80" s="82">
        <v>71</v>
      </c>
      <c r="B80" s="326"/>
      <c r="C80" s="108">
        <v>43401</v>
      </c>
      <c r="D80" s="26">
        <v>900459737</v>
      </c>
      <c r="E80" s="27" t="str">
        <f>VLOOKUP(D80,[1]TERCEROS!$A$2:$C$4000,3,FALSE)</f>
        <v>GRUPO EDS AUTOGAS SAS</v>
      </c>
      <c r="F80" s="28" t="s">
        <v>34</v>
      </c>
      <c r="G80" s="29">
        <v>50000</v>
      </c>
      <c r="H80" s="178">
        <v>0</v>
      </c>
      <c r="I80" s="231">
        <f t="shared" si="0"/>
        <v>50000</v>
      </c>
    </row>
    <row r="81" spans="1:9" s="1" customFormat="1" ht="15" thickBot="1" x14ac:dyDescent="0.4">
      <c r="A81" s="82">
        <v>72</v>
      </c>
      <c r="B81" s="326"/>
      <c r="C81" s="108">
        <v>43395</v>
      </c>
      <c r="D81" s="26">
        <v>900047165</v>
      </c>
      <c r="E81" s="27" t="str">
        <f>VLOOKUP(D81,[1]TERCEROS!$A$2:$C$4000,3,FALSE)</f>
        <v>CN COMERCIAL BOUTIQUE SANTA ANA</v>
      </c>
      <c r="F81" s="28" t="s">
        <v>287</v>
      </c>
      <c r="G81" s="29">
        <v>7400</v>
      </c>
      <c r="H81" s="178">
        <v>0</v>
      </c>
      <c r="I81" s="231">
        <f t="shared" si="0"/>
        <v>7400</v>
      </c>
    </row>
    <row r="82" spans="1:9" s="1" customFormat="1" ht="15" thickBot="1" x14ac:dyDescent="0.4">
      <c r="A82" s="82">
        <v>73</v>
      </c>
      <c r="B82" s="326"/>
      <c r="C82" s="108">
        <v>43400</v>
      </c>
      <c r="D82" s="26">
        <v>860049609</v>
      </c>
      <c r="E82" s="27" t="s">
        <v>422</v>
      </c>
      <c r="F82" s="28" t="s">
        <v>68</v>
      </c>
      <c r="G82" s="29">
        <v>199507</v>
      </c>
      <c r="H82" s="178">
        <v>0</v>
      </c>
      <c r="I82" s="231">
        <f t="shared" si="0"/>
        <v>199507</v>
      </c>
    </row>
    <row r="83" spans="1:9" s="1" customFormat="1" ht="15" thickBot="1" x14ac:dyDescent="0.4">
      <c r="A83" s="82">
        <v>74</v>
      </c>
      <c r="B83" s="326"/>
      <c r="C83" s="108">
        <v>43398</v>
      </c>
      <c r="D83" s="26">
        <v>900906761</v>
      </c>
      <c r="E83" s="27" t="str">
        <f>VLOOKUP(D83,[1]TERCEROS!$A$2:$C$4000,3,FALSE)</f>
        <v>MOD COLOMBIA SAS</v>
      </c>
      <c r="F83" s="28" t="s">
        <v>34</v>
      </c>
      <c r="G83" s="29">
        <v>50000</v>
      </c>
      <c r="H83" s="178">
        <v>0</v>
      </c>
      <c r="I83" s="231">
        <f t="shared" si="0"/>
        <v>50000</v>
      </c>
    </row>
    <row r="84" spans="1:9" s="1" customFormat="1" ht="15" thickBot="1" x14ac:dyDescent="0.4">
      <c r="A84" s="82">
        <v>75</v>
      </c>
      <c r="B84" s="326"/>
      <c r="C84" s="108">
        <v>43398</v>
      </c>
      <c r="D84" s="26">
        <v>900953424</v>
      </c>
      <c r="E84" s="27" t="s">
        <v>423</v>
      </c>
      <c r="F84" s="28" t="s">
        <v>68</v>
      </c>
      <c r="G84" s="29">
        <v>97000</v>
      </c>
      <c r="H84" s="178">
        <v>0</v>
      </c>
      <c r="I84" s="231">
        <f t="shared" si="0"/>
        <v>97000</v>
      </c>
    </row>
    <row r="85" spans="1:9" s="1" customFormat="1" ht="15" thickBot="1" x14ac:dyDescent="0.4">
      <c r="A85" s="82">
        <v>76</v>
      </c>
      <c r="B85" s="326"/>
      <c r="C85" s="108">
        <v>43403</v>
      </c>
      <c r="D85" s="26">
        <v>11202446</v>
      </c>
      <c r="E85" s="27" t="str">
        <f>VLOOKUP(D85,[1]TERCEROS!$A$2:$C$4000,3,FALSE)</f>
        <v>CARLOS EMILIANO MARTINEZ CRISTANCHO</v>
      </c>
      <c r="F85" s="28" t="s">
        <v>48</v>
      </c>
      <c r="G85" s="29">
        <v>30000</v>
      </c>
      <c r="H85" s="178">
        <v>0</v>
      </c>
      <c r="I85" s="231">
        <f t="shared" si="0"/>
        <v>30000</v>
      </c>
    </row>
    <row r="86" spans="1:9" s="1" customFormat="1" ht="15" thickBot="1" x14ac:dyDescent="0.4">
      <c r="A86" s="82">
        <v>77</v>
      </c>
      <c r="B86" s="326"/>
      <c r="C86" s="108">
        <v>43404</v>
      </c>
      <c r="D86" s="26">
        <v>23596381</v>
      </c>
      <c r="E86" s="27" t="str">
        <f>VLOOKUP(D86,[1]TERCEROS!$A$2:$C$4000,3,FALSE)</f>
        <v>PARRILLA RESTAURANTE 2 ONCES</v>
      </c>
      <c r="F86" s="28" t="s">
        <v>424</v>
      </c>
      <c r="G86" s="29">
        <v>15000</v>
      </c>
      <c r="H86" s="178">
        <v>0</v>
      </c>
      <c r="I86" s="238">
        <f>G86+H86</f>
        <v>15000</v>
      </c>
    </row>
    <row r="87" spans="1:9" s="1" customFormat="1" ht="15" thickBot="1" x14ac:dyDescent="0.4">
      <c r="A87" s="82">
        <v>78</v>
      </c>
      <c r="B87" s="326"/>
      <c r="C87" s="108">
        <v>43405</v>
      </c>
      <c r="D87" s="26">
        <v>114442335</v>
      </c>
      <c r="E87" s="27" t="s">
        <v>129</v>
      </c>
      <c r="F87" s="28" t="s">
        <v>424</v>
      </c>
      <c r="G87" s="29">
        <v>53000</v>
      </c>
      <c r="H87" s="178">
        <v>0</v>
      </c>
      <c r="I87" s="238">
        <f t="shared" ref="I87:I104" si="3">G87+H87</f>
        <v>53000</v>
      </c>
    </row>
    <row r="88" spans="1:9" s="1" customFormat="1" ht="15" thickBot="1" x14ac:dyDescent="0.4">
      <c r="A88" s="82">
        <v>79</v>
      </c>
      <c r="B88" s="326"/>
      <c r="C88" s="108">
        <v>43403</v>
      </c>
      <c r="D88" s="26">
        <v>41634008</v>
      </c>
      <c r="E88" s="27" t="str">
        <f>VLOOKUP(D88,[1]TERCEROS!$A$2:$C$4000,3,FALSE)</f>
        <v>GLORIA HAIDEE PINZON</v>
      </c>
      <c r="F88" s="28" t="s">
        <v>287</v>
      </c>
      <c r="G88" s="29">
        <v>1650</v>
      </c>
      <c r="H88" s="178">
        <v>0</v>
      </c>
      <c r="I88" s="238">
        <f t="shared" si="3"/>
        <v>1650</v>
      </c>
    </row>
    <row r="89" spans="1:9" s="1" customFormat="1" ht="15" thickBot="1" x14ac:dyDescent="0.4">
      <c r="A89" s="82">
        <v>80</v>
      </c>
      <c r="B89" s="326"/>
      <c r="C89" s="108">
        <v>43400</v>
      </c>
      <c r="D89" s="26">
        <v>52706834</v>
      </c>
      <c r="E89" s="27" t="s">
        <v>425</v>
      </c>
      <c r="F89" s="28" t="s">
        <v>60</v>
      </c>
      <c r="G89" s="29">
        <v>22000</v>
      </c>
      <c r="H89" s="178">
        <v>0</v>
      </c>
      <c r="I89" s="238">
        <f t="shared" si="3"/>
        <v>22000</v>
      </c>
    </row>
    <row r="90" spans="1:9" s="1" customFormat="1" ht="15" thickBot="1" x14ac:dyDescent="0.4">
      <c r="A90" s="82">
        <v>81</v>
      </c>
      <c r="B90" s="326"/>
      <c r="C90" s="108">
        <v>43402</v>
      </c>
      <c r="D90" s="26">
        <v>41634008</v>
      </c>
      <c r="E90" s="27" t="str">
        <f>VLOOKUP(D90,[1]TERCEROS!$A$2:$C$4000,3,FALSE)</f>
        <v>GLORIA HAIDEE PINZON</v>
      </c>
      <c r="F90" s="28" t="s">
        <v>287</v>
      </c>
      <c r="G90" s="29">
        <v>2000</v>
      </c>
      <c r="H90" s="178">
        <v>0</v>
      </c>
      <c r="I90" s="238">
        <f t="shared" si="3"/>
        <v>2000</v>
      </c>
    </row>
    <row r="91" spans="1:9" s="1" customFormat="1" ht="15" thickBot="1" x14ac:dyDescent="0.4">
      <c r="A91" s="82">
        <v>82</v>
      </c>
      <c r="B91" s="326"/>
      <c r="C91" s="108">
        <v>43403</v>
      </c>
      <c r="D91" s="26">
        <v>16050001</v>
      </c>
      <c r="E91" s="27" t="s">
        <v>426</v>
      </c>
      <c r="F91" s="28" t="s">
        <v>287</v>
      </c>
      <c r="G91" s="29">
        <v>2350</v>
      </c>
      <c r="H91" s="178">
        <v>0</v>
      </c>
      <c r="I91" s="238">
        <f t="shared" si="3"/>
        <v>2350</v>
      </c>
    </row>
    <row r="92" spans="1:9" s="1" customFormat="1" ht="15" thickBot="1" x14ac:dyDescent="0.4">
      <c r="A92" s="82">
        <v>83</v>
      </c>
      <c r="B92" s="326"/>
      <c r="C92" s="108">
        <v>43403</v>
      </c>
      <c r="D92" s="26">
        <v>860058760</v>
      </c>
      <c r="E92" s="27" t="str">
        <f>VLOOKUP(D92,[1]TERCEROS!$A$2:$C$4000,3,FALSE)</f>
        <v>PARKING INTERNACIONAL LTDA</v>
      </c>
      <c r="F92" s="28" t="s">
        <v>287</v>
      </c>
      <c r="G92" s="29">
        <v>2050</v>
      </c>
      <c r="H92" s="178">
        <v>0</v>
      </c>
      <c r="I92" s="238">
        <f t="shared" si="3"/>
        <v>2050</v>
      </c>
    </row>
    <row r="93" spans="1:9" s="1" customFormat="1" ht="15" thickBot="1" x14ac:dyDescent="0.4">
      <c r="A93" s="82">
        <v>84</v>
      </c>
      <c r="B93" s="326"/>
      <c r="C93" s="108">
        <v>43404</v>
      </c>
      <c r="D93" s="26">
        <v>800095174</v>
      </c>
      <c r="E93" s="27" t="str">
        <f>VLOOKUP(D93,[1]TERCEROS!$A$2:$C$4000,3,FALSE)</f>
        <v>ALCALDIA MUNICIPAL DE TENJO</v>
      </c>
      <c r="F93" s="28" t="s">
        <v>427</v>
      </c>
      <c r="G93" s="29">
        <v>5250</v>
      </c>
      <c r="H93" s="178">
        <v>0</v>
      </c>
      <c r="I93" s="238">
        <f t="shared" si="3"/>
        <v>5250</v>
      </c>
    </row>
    <row r="94" spans="1:9" s="1" customFormat="1" ht="15" thickBot="1" x14ac:dyDescent="0.4">
      <c r="A94" s="82">
        <v>85</v>
      </c>
      <c r="B94" s="326"/>
      <c r="C94" s="108">
        <v>43406</v>
      </c>
      <c r="D94" s="26">
        <v>1067712921</v>
      </c>
      <c r="E94" s="27" t="s">
        <v>429</v>
      </c>
      <c r="F94" s="28" t="s">
        <v>428</v>
      </c>
      <c r="G94" s="29">
        <v>22500</v>
      </c>
      <c r="H94" s="178"/>
      <c r="I94" s="238">
        <f t="shared" si="3"/>
        <v>22500</v>
      </c>
    </row>
    <row r="95" spans="1:9" s="1" customFormat="1" ht="15" thickBot="1" x14ac:dyDescent="0.4">
      <c r="A95" s="82">
        <v>86</v>
      </c>
      <c r="B95" s="326"/>
      <c r="C95" s="108">
        <v>43406</v>
      </c>
      <c r="D95" s="26">
        <v>1023873228</v>
      </c>
      <c r="E95" s="27" t="s">
        <v>431</v>
      </c>
      <c r="F95" s="28" t="s">
        <v>430</v>
      </c>
      <c r="G95" s="29">
        <v>230000</v>
      </c>
      <c r="H95" s="178"/>
      <c r="I95" s="238">
        <f t="shared" si="3"/>
        <v>230000</v>
      </c>
    </row>
    <row r="96" spans="1:9" s="1" customFormat="1" ht="15" thickBot="1" x14ac:dyDescent="0.4">
      <c r="A96" s="82">
        <v>87</v>
      </c>
      <c r="B96" s="326"/>
      <c r="C96" s="108">
        <v>43406</v>
      </c>
      <c r="D96" s="26">
        <v>52703479</v>
      </c>
      <c r="E96" s="27" t="str">
        <f>VLOOKUP(D96,[1]TERCEROS!$A$2:$C$4000,3,FALSE)</f>
        <v>SILVA ANDREA PEDRAZA</v>
      </c>
      <c r="F96" s="28" t="s">
        <v>432</v>
      </c>
      <c r="G96" s="29">
        <v>275000</v>
      </c>
      <c r="H96" s="178"/>
      <c r="I96" s="238">
        <f t="shared" si="3"/>
        <v>275000</v>
      </c>
    </row>
    <row r="97" spans="1:37" s="1" customFormat="1" ht="15" thickBot="1" x14ac:dyDescent="0.4">
      <c r="A97" s="82">
        <v>88</v>
      </c>
      <c r="B97" s="326"/>
      <c r="C97" s="108">
        <v>43406</v>
      </c>
      <c r="D97" s="26">
        <v>22222222</v>
      </c>
      <c r="E97" s="27" t="s">
        <v>433</v>
      </c>
      <c r="F97" s="28" t="s">
        <v>434</v>
      </c>
      <c r="G97" s="29">
        <v>228000</v>
      </c>
      <c r="H97" s="178"/>
      <c r="I97" s="238">
        <f t="shared" si="3"/>
        <v>228000</v>
      </c>
    </row>
    <row r="98" spans="1:37" s="1" customFormat="1" ht="15" thickBot="1" x14ac:dyDescent="0.4">
      <c r="A98" s="82">
        <v>89</v>
      </c>
      <c r="B98" s="326"/>
      <c r="C98" s="108">
        <v>43406</v>
      </c>
      <c r="D98" s="26">
        <v>222222222</v>
      </c>
      <c r="E98" s="27" t="str">
        <f>VLOOKUP(D98,[1]TERCEROS!$A$2:$C$4000,3,FALSE)</f>
        <v>CUANTIAS MINIMAS</v>
      </c>
      <c r="F98" s="28" t="s">
        <v>435</v>
      </c>
      <c r="G98" s="29">
        <v>45000</v>
      </c>
      <c r="H98" s="178"/>
      <c r="I98" s="238">
        <f t="shared" si="3"/>
        <v>45000</v>
      </c>
    </row>
    <row r="99" spans="1:37" s="1" customFormat="1" ht="15" thickBot="1" x14ac:dyDescent="0.4">
      <c r="A99" s="82">
        <v>90</v>
      </c>
      <c r="B99" s="326"/>
      <c r="C99" s="108">
        <v>43409</v>
      </c>
      <c r="D99" s="26">
        <v>6464062</v>
      </c>
      <c r="E99" s="27" t="s">
        <v>436</v>
      </c>
      <c r="F99" s="28" t="s">
        <v>287</v>
      </c>
      <c r="G99" s="29">
        <v>1600</v>
      </c>
      <c r="H99" s="178"/>
      <c r="I99" s="238">
        <f t="shared" si="3"/>
        <v>1600</v>
      </c>
    </row>
    <row r="100" spans="1:37" s="1" customFormat="1" ht="15" thickBot="1" x14ac:dyDescent="0.4">
      <c r="A100" s="82">
        <v>91</v>
      </c>
      <c r="B100" s="326"/>
      <c r="C100" s="108">
        <v>43406</v>
      </c>
      <c r="D100" s="26">
        <v>222222222</v>
      </c>
      <c r="E100" s="27" t="str">
        <f>VLOOKUP(D100,[1]TERCEROS!$A$2:$C$4000,3,FALSE)</f>
        <v>CUANTIAS MINIMAS</v>
      </c>
      <c r="F100" s="28" t="s">
        <v>287</v>
      </c>
      <c r="G100" s="29">
        <v>6000</v>
      </c>
      <c r="H100" s="178"/>
      <c r="I100" s="238">
        <f t="shared" si="3"/>
        <v>6000</v>
      </c>
    </row>
    <row r="101" spans="1:37" s="1" customFormat="1" ht="15" thickBot="1" x14ac:dyDescent="0.4">
      <c r="A101" s="82">
        <v>92</v>
      </c>
      <c r="B101" s="326"/>
      <c r="C101" s="108">
        <v>43406</v>
      </c>
      <c r="D101" s="26">
        <v>6464062</v>
      </c>
      <c r="E101" s="27" t="s">
        <v>436</v>
      </c>
      <c r="F101" s="28" t="s">
        <v>287</v>
      </c>
      <c r="G101" s="29">
        <v>3300</v>
      </c>
      <c r="H101" s="178"/>
      <c r="I101" s="238">
        <f t="shared" si="3"/>
        <v>3300</v>
      </c>
    </row>
    <row r="102" spans="1:37" s="1" customFormat="1" ht="15" thickBot="1" x14ac:dyDescent="0.4">
      <c r="A102" s="82">
        <v>93</v>
      </c>
      <c r="B102" s="326"/>
      <c r="C102" s="108">
        <v>43405</v>
      </c>
      <c r="D102" s="26">
        <v>830107120</v>
      </c>
      <c r="E102" s="27" t="s">
        <v>437</v>
      </c>
      <c r="F102" s="28" t="s">
        <v>287</v>
      </c>
      <c r="G102" s="29">
        <v>1100</v>
      </c>
      <c r="H102" s="178"/>
      <c r="I102" s="238">
        <f t="shared" si="3"/>
        <v>1100</v>
      </c>
    </row>
    <row r="103" spans="1:37" s="1" customFormat="1" ht="15" thickBot="1" x14ac:dyDescent="0.4">
      <c r="A103" s="82">
        <v>94</v>
      </c>
      <c r="B103" s="326"/>
      <c r="C103" s="108">
        <v>43410</v>
      </c>
      <c r="D103" s="26">
        <v>222222222</v>
      </c>
      <c r="E103" s="27" t="str">
        <f>VLOOKUP(D103,[1]TERCEROS!$A$2:$C$4000,3,FALSE)</f>
        <v>CUANTIAS MINIMAS</v>
      </c>
      <c r="F103" s="28" t="s">
        <v>237</v>
      </c>
      <c r="G103" s="29">
        <v>10200</v>
      </c>
      <c r="H103" s="178"/>
      <c r="I103" s="238">
        <f t="shared" si="3"/>
        <v>10200</v>
      </c>
    </row>
    <row r="104" spans="1:37" s="1" customFormat="1" ht="15" thickBot="1" x14ac:dyDescent="0.4">
      <c r="A104" s="82">
        <v>95</v>
      </c>
      <c r="B104" s="326"/>
      <c r="C104" s="108">
        <v>43406</v>
      </c>
      <c r="D104" s="26">
        <v>830114594</v>
      </c>
      <c r="E104" s="27" t="s">
        <v>439</v>
      </c>
      <c r="F104" s="28" t="s">
        <v>438</v>
      </c>
      <c r="G104" s="29">
        <v>105042</v>
      </c>
      <c r="H104" s="178">
        <f>+G104*19%</f>
        <v>19957.98</v>
      </c>
      <c r="I104" s="238">
        <f t="shared" si="3"/>
        <v>124999.98</v>
      </c>
    </row>
    <row r="105" spans="1:37" s="2" customFormat="1" ht="15.75" customHeight="1" thickBot="1" x14ac:dyDescent="0.4">
      <c r="A105" s="327" t="s">
        <v>442</v>
      </c>
      <c r="B105" s="328"/>
      <c r="C105" s="329"/>
      <c r="D105" s="329"/>
      <c r="E105" s="330"/>
      <c r="F105" s="93" t="s">
        <v>24</v>
      </c>
      <c r="G105" s="94">
        <f>SUM(G10:G104)</f>
        <v>2517578</v>
      </c>
      <c r="H105" s="94">
        <f>SUM(H10:H104)</f>
        <v>20913.489999999998</v>
      </c>
      <c r="I105" s="94">
        <f>SUM(I10:I104)</f>
        <v>2538491.4899999998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s="2" customFormat="1" ht="15" customHeight="1" x14ac:dyDescent="0.35">
      <c r="A106" s="300" t="s">
        <v>26</v>
      </c>
      <c r="B106" s="301"/>
      <c r="C106" s="301"/>
      <c r="D106" s="306" t="s">
        <v>58</v>
      </c>
      <c r="E106" s="307"/>
      <c r="F106" s="312"/>
      <c r="G106" s="315" t="s">
        <v>16</v>
      </c>
      <c r="H106" s="316"/>
      <c r="I106" s="35">
        <v>3000000</v>
      </c>
      <c r="J106" s="1"/>
      <c r="K106" s="1"/>
      <c r="L106" s="1"/>
      <c r="M106" s="2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s="2" customFormat="1" ht="15" customHeight="1" x14ac:dyDescent="0.35">
      <c r="A107" s="302"/>
      <c r="B107" s="303"/>
      <c r="C107" s="303"/>
      <c r="D107" s="308"/>
      <c r="E107" s="309"/>
      <c r="F107" s="313"/>
      <c r="G107" s="317" t="s">
        <v>17</v>
      </c>
      <c r="H107" s="318"/>
      <c r="I107" s="36">
        <f>+I106-I105</f>
        <v>461508.51000000024</v>
      </c>
      <c r="J107" s="1"/>
      <c r="K107" s="1"/>
      <c r="L107" s="1"/>
      <c r="M107" s="2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s="1" customFormat="1" ht="15.75" customHeight="1" thickBot="1" x14ac:dyDescent="0.4">
      <c r="A108" s="304"/>
      <c r="B108" s="305"/>
      <c r="C108" s="305"/>
      <c r="D108" s="310"/>
      <c r="E108" s="311"/>
      <c r="F108" s="314"/>
      <c r="G108" s="289" t="s">
        <v>5</v>
      </c>
      <c r="H108" s="290"/>
      <c r="I108" s="37">
        <f>+I106-I107</f>
        <v>2538491.4899999998</v>
      </c>
    </row>
    <row r="109" spans="1:37" s="1" customFormat="1" ht="15" thickBot="1" x14ac:dyDescent="0.4">
      <c r="A109" s="291" t="s">
        <v>25</v>
      </c>
      <c r="B109" s="292"/>
      <c r="C109" s="292"/>
      <c r="D109" s="293"/>
      <c r="E109" s="38"/>
      <c r="F109" s="38"/>
      <c r="G109" s="38"/>
      <c r="H109" s="38"/>
      <c r="I109" s="39"/>
    </row>
    <row r="110" spans="1:37" s="1" customFormat="1" ht="15" thickBot="1" x14ac:dyDescent="0.4">
      <c r="A110" s="40"/>
      <c r="B110" s="41" t="s">
        <v>6</v>
      </c>
      <c r="C110" s="42">
        <f>D126</f>
        <v>350200</v>
      </c>
      <c r="D110" s="39"/>
      <c r="E110" s="43">
        <f>C110+C113+I105</f>
        <v>2999691.4899999998</v>
      </c>
      <c r="F110" s="43"/>
      <c r="G110" s="38"/>
      <c r="H110" s="38"/>
      <c r="I110" s="44"/>
    </row>
    <row r="111" spans="1:37" s="1" customFormat="1" ht="15" thickBot="1" x14ac:dyDescent="0.4">
      <c r="A111" s="40"/>
      <c r="B111" s="41" t="s">
        <v>441</v>
      </c>
      <c r="C111" s="45">
        <v>111000</v>
      </c>
      <c r="D111" s="39"/>
      <c r="E111" s="43">
        <f>+E110-I106</f>
        <v>-308.51000000024214</v>
      </c>
      <c r="F111" s="38"/>
      <c r="G111" s="38"/>
      <c r="H111" s="38"/>
      <c r="I111" s="39"/>
    </row>
    <row r="112" spans="1:37" s="1" customFormat="1" ht="15" thickBot="1" x14ac:dyDescent="0.4">
      <c r="A112" s="40"/>
      <c r="B112" s="46" t="s">
        <v>309</v>
      </c>
      <c r="C112" s="45">
        <v>0</v>
      </c>
      <c r="D112" s="39"/>
      <c r="E112" s="43"/>
      <c r="F112" s="38"/>
      <c r="G112" s="38"/>
      <c r="H112" s="38"/>
      <c r="I112" s="39"/>
    </row>
    <row r="113" spans="1:37" s="1" customFormat="1" ht="15" thickBot="1" x14ac:dyDescent="0.4">
      <c r="A113" s="40"/>
      <c r="B113" s="47" t="s">
        <v>7</v>
      </c>
      <c r="C113" s="45">
        <f>SUM(C111:C112)</f>
        <v>111000</v>
      </c>
      <c r="D113" s="39"/>
      <c r="E113" s="48"/>
      <c r="F113" s="48"/>
      <c r="G113" s="48"/>
      <c r="H113" s="48"/>
      <c r="I113" s="49"/>
    </row>
    <row r="114" spans="1:37" s="1" customFormat="1" ht="15" thickBot="1" x14ac:dyDescent="0.4">
      <c r="A114" s="40"/>
      <c r="B114" s="50"/>
      <c r="C114" s="51"/>
      <c r="D114" s="39"/>
      <c r="E114" s="48"/>
      <c r="F114" s="48"/>
      <c r="G114" s="48"/>
      <c r="H114" s="48"/>
      <c r="I114" s="49"/>
    </row>
    <row r="115" spans="1:37" s="1" customFormat="1" ht="15" thickBot="1" x14ac:dyDescent="0.4">
      <c r="A115" s="40"/>
      <c r="B115" s="52"/>
      <c r="C115" s="53" t="s">
        <v>11</v>
      </c>
      <c r="D115" s="54" t="s">
        <v>4</v>
      </c>
      <c r="E115" s="38"/>
      <c r="F115" s="55"/>
      <c r="G115" s="38"/>
      <c r="H115" s="38"/>
      <c r="I115" s="39"/>
    </row>
    <row r="116" spans="1:37" s="1" customFormat="1" ht="14.5" x14ac:dyDescent="0.35">
      <c r="A116" s="40"/>
      <c r="B116" s="56">
        <v>7</v>
      </c>
      <c r="C116" s="57">
        <v>50000</v>
      </c>
      <c r="D116" s="58">
        <f t="shared" ref="D116:D125" si="4">+C116*B116</f>
        <v>350000</v>
      </c>
      <c r="E116" s="227" t="s">
        <v>29</v>
      </c>
      <c r="F116" s="60" t="s">
        <v>27</v>
      </c>
      <c r="G116" s="294" t="s">
        <v>28</v>
      </c>
      <c r="H116" s="294"/>
      <c r="I116" s="295"/>
    </row>
    <row r="117" spans="1:37" s="5" customFormat="1" ht="15" customHeight="1" x14ac:dyDescent="0.35">
      <c r="A117" s="40"/>
      <c r="B117" s="62"/>
      <c r="C117" s="63">
        <v>20000</v>
      </c>
      <c r="D117" s="58">
        <f t="shared" si="4"/>
        <v>0</v>
      </c>
      <c r="E117" s="225" t="s">
        <v>19</v>
      </c>
      <c r="F117" s="225" t="s">
        <v>20</v>
      </c>
      <c r="G117" s="296" t="s">
        <v>21</v>
      </c>
      <c r="H117" s="296"/>
      <c r="I117" s="29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s="5" customFormat="1" ht="15" customHeight="1" x14ac:dyDescent="0.35">
      <c r="A118" s="40"/>
      <c r="B118" s="62"/>
      <c r="C118" s="63">
        <v>10000</v>
      </c>
      <c r="D118" s="58">
        <f t="shared" si="4"/>
        <v>0</v>
      </c>
      <c r="E118" s="226" t="s">
        <v>79</v>
      </c>
      <c r="F118" s="226" t="s">
        <v>80</v>
      </c>
      <c r="G118" s="298" t="s">
        <v>81</v>
      </c>
      <c r="H118" s="298"/>
      <c r="I118" s="29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s="5" customFormat="1" ht="15" customHeight="1" x14ac:dyDescent="0.35">
      <c r="A119" s="40"/>
      <c r="B119" s="62"/>
      <c r="C119" s="63">
        <v>5000</v>
      </c>
      <c r="D119" s="58">
        <f t="shared" si="4"/>
        <v>0</v>
      </c>
      <c r="E119" s="38" t="s">
        <v>0</v>
      </c>
      <c r="F119" s="38"/>
      <c r="G119" s="38"/>
      <c r="H119" s="38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s="5" customFormat="1" ht="15" customHeight="1" x14ac:dyDescent="0.35">
      <c r="A120" s="40"/>
      <c r="B120" s="62"/>
      <c r="C120" s="63">
        <v>2000</v>
      </c>
      <c r="D120" s="58">
        <f t="shared" si="4"/>
        <v>0</v>
      </c>
      <c r="E120" s="38"/>
      <c r="F120" s="38" t="s">
        <v>8</v>
      </c>
      <c r="G120" s="38"/>
      <c r="H120" s="38"/>
      <c r="I120" s="3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s="5" customFormat="1" ht="15" customHeight="1" x14ac:dyDescent="0.35">
      <c r="A121" s="40"/>
      <c r="B121" s="62"/>
      <c r="C121" s="63">
        <v>1000</v>
      </c>
      <c r="D121" s="58">
        <f t="shared" si="4"/>
        <v>0</v>
      </c>
      <c r="E121" s="38"/>
      <c r="F121" s="38"/>
      <c r="G121" s="38"/>
      <c r="H121" s="38"/>
      <c r="I121" s="3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s="1" customFormat="1" ht="15" customHeight="1" x14ac:dyDescent="0.35">
      <c r="A122" s="40"/>
      <c r="B122" s="62"/>
      <c r="C122" s="63">
        <v>500</v>
      </c>
      <c r="D122" s="58">
        <f t="shared" si="4"/>
        <v>0</v>
      </c>
      <c r="E122" s="38"/>
      <c r="F122" s="38"/>
      <c r="G122" s="38"/>
      <c r="H122" s="38"/>
      <c r="I122" s="39"/>
    </row>
    <row r="123" spans="1:37" s="1" customFormat="1" ht="15" customHeight="1" x14ac:dyDescent="0.35">
      <c r="A123" s="40"/>
      <c r="B123" s="62">
        <v>1</v>
      </c>
      <c r="C123" s="63">
        <v>200</v>
      </c>
      <c r="D123" s="58">
        <f t="shared" si="4"/>
        <v>200</v>
      </c>
      <c r="E123" s="38"/>
      <c r="F123" s="38"/>
      <c r="G123" s="38"/>
      <c r="H123" s="38"/>
      <c r="I123" s="39"/>
    </row>
    <row r="124" spans="1:37" s="1" customFormat="1" ht="15" customHeight="1" x14ac:dyDescent="0.35">
      <c r="A124" s="40"/>
      <c r="B124" s="62"/>
      <c r="C124" s="63">
        <v>100</v>
      </c>
      <c r="D124" s="58">
        <f>+C124*B124</f>
        <v>0</v>
      </c>
      <c r="E124" s="38"/>
      <c r="F124" s="38"/>
      <c r="G124" s="38"/>
      <c r="H124" s="38"/>
      <c r="I124" s="39"/>
    </row>
    <row r="125" spans="1:37" s="5" customFormat="1" ht="15" customHeight="1" thickBot="1" x14ac:dyDescent="0.4">
      <c r="A125" s="40"/>
      <c r="B125" s="68"/>
      <c r="C125" s="69">
        <v>50</v>
      </c>
      <c r="D125" s="58">
        <f t="shared" si="4"/>
        <v>0</v>
      </c>
      <c r="E125" s="38"/>
      <c r="F125" s="38"/>
      <c r="G125" s="38"/>
      <c r="H125" s="38"/>
      <c r="I125" s="3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s="1" customFormat="1" ht="15" customHeight="1" thickBot="1" x14ac:dyDescent="0.4">
      <c r="A126" s="40"/>
      <c r="B126" s="227"/>
      <c r="C126" s="70"/>
      <c r="D126" s="71">
        <f>SUM(D116:D125)</f>
        <v>350200</v>
      </c>
      <c r="E126" s="38"/>
      <c r="F126" s="38"/>
      <c r="G126" s="38"/>
      <c r="H126" s="38"/>
      <c r="I126" s="39"/>
    </row>
    <row r="127" spans="1:37" s="5" customFormat="1" ht="15" customHeight="1" thickBot="1" x14ac:dyDescent="0.4">
      <c r="A127" s="72"/>
      <c r="B127" s="73"/>
      <c r="C127" s="74"/>
      <c r="D127" s="75"/>
      <c r="E127" s="76"/>
      <c r="F127" s="76"/>
      <c r="G127" s="76"/>
      <c r="H127" s="76"/>
      <c r="I127" s="7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s="5" customFormat="1" ht="22.5" customHeight="1" x14ac:dyDescent="0.35">
      <c r="A128" s="1"/>
      <c r="B128"/>
      <c r="C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s="3" customFormat="1" ht="22.5" customHeight="1" x14ac:dyDescent="0.35">
      <c r="A129"/>
      <c r="B129"/>
      <c r="C129" s="6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 s="3" customFormat="1" ht="22.5" customHeight="1" x14ac:dyDescent="0.35">
      <c r="A130"/>
      <c r="B130"/>
      <c r="C130" s="6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 s="3" customFormat="1" ht="22.5" customHeight="1" x14ac:dyDescent="0.35">
      <c r="A131"/>
      <c r="B131"/>
      <c r="C131" s="6"/>
      <c r="D131" s="7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</sheetData>
  <autoFilter ref="C9:J113"/>
  <mergeCells count="21">
    <mergeCell ref="G116:I116"/>
    <mergeCell ref="G117:I117"/>
    <mergeCell ref="G118:I118"/>
    <mergeCell ref="A105:E105"/>
    <mergeCell ref="A106:C108"/>
    <mergeCell ref="D106:E108"/>
    <mergeCell ref="F106:F108"/>
    <mergeCell ref="G106:H106"/>
    <mergeCell ref="G107:H107"/>
    <mergeCell ref="G108:H108"/>
    <mergeCell ref="B11:B104"/>
    <mergeCell ref="A7:B7"/>
    <mergeCell ref="C7:I7"/>
    <mergeCell ref="A8:I8"/>
    <mergeCell ref="A109:D109"/>
    <mergeCell ref="A1:B6"/>
    <mergeCell ref="C1:F3"/>
    <mergeCell ref="G1:I2"/>
    <mergeCell ref="G3:I4"/>
    <mergeCell ref="C4:F6"/>
    <mergeCell ref="G5:I6"/>
  </mergeCells>
  <pageMargins left="0.7" right="0.7" top="0.75" bottom="0.75" header="0.3" footer="0.3"/>
  <pageSetup scale="4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86"/>
  <sheetViews>
    <sheetView showGridLines="0" topLeftCell="A7" workbookViewId="0">
      <selection activeCell="F66" sqref="F66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43416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37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37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43383</v>
      </c>
      <c r="D10" s="17">
        <v>830054076</v>
      </c>
      <c r="E10" s="18" t="str">
        <f>VLOOKUP(D10,[1]TERCEROS!$A$2:$C$4000,3,FALSE)</f>
        <v>FIDEICOMISOS SOCIEDAD FIDUCIARIA</v>
      </c>
      <c r="F10" s="19" t="s">
        <v>33</v>
      </c>
      <c r="G10" s="20">
        <v>9700</v>
      </c>
      <c r="H10" s="177">
        <v>0</v>
      </c>
      <c r="I10" s="230">
        <f>IF($K$14=1,G10+H10,G10*H10)</f>
        <v>9700</v>
      </c>
    </row>
    <row r="11" spans="1:12" s="1" customFormat="1" ht="15" thickBot="1" x14ac:dyDescent="0.4">
      <c r="A11" s="82">
        <v>2</v>
      </c>
      <c r="B11" s="340" t="s">
        <v>396</v>
      </c>
      <c r="C11" s="108">
        <v>43411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9700</v>
      </c>
      <c r="H11" s="178">
        <v>0</v>
      </c>
      <c r="I11" s="231">
        <f>IF($K$14=1,G11+H11,G11*H11)</f>
        <v>9700</v>
      </c>
    </row>
    <row r="12" spans="1:12" s="1" customFormat="1" ht="15" thickBot="1" x14ac:dyDescent="0.4">
      <c r="A12" s="82">
        <v>3</v>
      </c>
      <c r="B12" s="341"/>
      <c r="C12" s="108">
        <v>43416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178">
        <v>0</v>
      </c>
      <c r="I12" s="231">
        <f t="shared" ref="I12:I59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43413</v>
      </c>
      <c r="D13" s="26">
        <v>830054076</v>
      </c>
      <c r="E13" s="27" t="str">
        <f>VLOOKUP(D13,[1]TERCEROS!$A$2:$C$4000,3,FALSE)</f>
        <v>FIDEICOMISOS SOCIEDAD FIDUCIARIA</v>
      </c>
      <c r="F13" s="28" t="s">
        <v>33</v>
      </c>
      <c r="G13" s="29">
        <v>9700</v>
      </c>
      <c r="H13" s="178">
        <v>0</v>
      </c>
      <c r="I13" s="231">
        <f t="shared" si="0"/>
        <v>9700</v>
      </c>
    </row>
    <row r="14" spans="1:12" s="1" customFormat="1" ht="15" thickBot="1" x14ac:dyDescent="0.4">
      <c r="A14" s="82">
        <v>5</v>
      </c>
      <c r="B14" s="341"/>
      <c r="C14" s="108">
        <v>43413</v>
      </c>
      <c r="D14" s="26">
        <v>830054076</v>
      </c>
      <c r="E14" s="27" t="str">
        <f>VLOOKUP(D14,[1]TERCEROS!$A$2:$C$4000,3,FALSE)</f>
        <v>FIDEICOMISOS SOCIEDAD FIDUCIARIA</v>
      </c>
      <c r="F14" s="28" t="s">
        <v>33</v>
      </c>
      <c r="G14" s="29">
        <v>9700</v>
      </c>
      <c r="H14" s="178">
        <v>0</v>
      </c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43391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178">
        <v>0</v>
      </c>
      <c r="I15" s="2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43383</v>
      </c>
      <c r="D16" s="26">
        <v>830054076</v>
      </c>
      <c r="E16" s="27" t="str">
        <f>VLOOKUP(D16,[1]TERCEROS!$A$2:$C$4000,3,FALSE)</f>
        <v>FIDEICOMISOS SOCIEDAD FIDUCIARIA</v>
      </c>
      <c r="F16" s="28" t="s">
        <v>33</v>
      </c>
      <c r="G16" s="29">
        <v>9700</v>
      </c>
      <c r="H16" s="178">
        <v>0</v>
      </c>
      <c r="I16" s="231">
        <f t="shared" si="0"/>
        <v>9700</v>
      </c>
    </row>
    <row r="17" spans="1:9" s="1" customFormat="1" ht="15" thickBot="1" x14ac:dyDescent="0.4">
      <c r="A17" s="82">
        <v>8</v>
      </c>
      <c r="B17" s="341"/>
      <c r="C17" s="108">
        <v>43403</v>
      </c>
      <c r="D17" s="26">
        <v>830054076</v>
      </c>
      <c r="E17" s="27" t="str">
        <f>VLOOKUP(D17,[1]TERCEROS!$A$2:$C$4000,3,FALSE)</f>
        <v>FIDEICOMISOS SOCIEDAD FIDUCIARIA</v>
      </c>
      <c r="F17" s="28" t="s">
        <v>33</v>
      </c>
      <c r="G17" s="29">
        <v>9700</v>
      </c>
      <c r="H17" s="178">
        <v>0</v>
      </c>
      <c r="I17" s="231">
        <f t="shared" si="0"/>
        <v>9700</v>
      </c>
    </row>
    <row r="18" spans="1:9" s="1" customFormat="1" ht="15" thickBot="1" x14ac:dyDescent="0.4">
      <c r="A18" s="82">
        <v>9</v>
      </c>
      <c r="B18" s="341"/>
      <c r="C18" s="108">
        <v>43378</v>
      </c>
      <c r="D18" s="26">
        <v>830054076</v>
      </c>
      <c r="E18" s="27" t="str">
        <f>VLOOKUP(D18,[1]TERCEROS!$A$2:$C$4000,3,FALSE)</f>
        <v>FIDEICOMISOS SOCIEDAD FIDUCIARIA</v>
      </c>
      <c r="F18" s="28" t="s">
        <v>33</v>
      </c>
      <c r="G18" s="29">
        <v>9700</v>
      </c>
      <c r="H18" s="178">
        <v>0</v>
      </c>
      <c r="I18" s="231">
        <f t="shared" si="0"/>
        <v>9700</v>
      </c>
    </row>
    <row r="19" spans="1:9" s="1" customFormat="1" ht="15" thickBot="1" x14ac:dyDescent="0.4">
      <c r="A19" s="82">
        <v>10</v>
      </c>
      <c r="B19" s="341"/>
      <c r="C19" s="108">
        <v>43391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178">
        <v>0</v>
      </c>
      <c r="I19" s="231">
        <f t="shared" si="0"/>
        <v>9700</v>
      </c>
    </row>
    <row r="20" spans="1:9" s="1" customFormat="1" ht="15" thickBot="1" x14ac:dyDescent="0.4">
      <c r="A20" s="82">
        <v>11</v>
      </c>
      <c r="B20" s="341"/>
      <c r="C20" s="108">
        <v>43406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178">
        <v>0</v>
      </c>
      <c r="I20" s="2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43405</v>
      </c>
      <c r="D21" s="26">
        <v>830054076</v>
      </c>
      <c r="E21" s="27" t="str">
        <f>VLOOKUP(D21,[1]TERCEROS!$A$2:$C$4000,3,FALSE)</f>
        <v>FIDEICOMISOS SOCIEDAD FIDUCIARIA</v>
      </c>
      <c r="F21" s="28" t="s">
        <v>33</v>
      </c>
      <c r="G21" s="29">
        <v>9700</v>
      </c>
      <c r="H21" s="178">
        <v>0</v>
      </c>
      <c r="I21" s="231">
        <f t="shared" si="0"/>
        <v>9700</v>
      </c>
    </row>
    <row r="22" spans="1:9" s="1" customFormat="1" ht="15" thickBot="1" x14ac:dyDescent="0.4">
      <c r="A22" s="82">
        <v>13</v>
      </c>
      <c r="B22" s="341"/>
      <c r="C22" s="108">
        <v>43411</v>
      </c>
      <c r="D22" s="26">
        <v>830054076</v>
      </c>
      <c r="E22" s="27" t="str">
        <f>VLOOKUP(D22,[1]TERCEROS!$A$2:$C$4000,3,FALSE)</f>
        <v>FIDEICOMISOS SOCIEDAD FIDUCIARIA</v>
      </c>
      <c r="F22" s="28" t="s">
        <v>33</v>
      </c>
      <c r="G22" s="29">
        <v>9700</v>
      </c>
      <c r="H22" s="178">
        <v>0</v>
      </c>
      <c r="I22" s="231">
        <f t="shared" si="0"/>
        <v>9700</v>
      </c>
    </row>
    <row r="23" spans="1:9" s="1" customFormat="1" ht="15" thickBot="1" x14ac:dyDescent="0.4">
      <c r="A23" s="82">
        <v>14</v>
      </c>
      <c r="B23" s="341"/>
      <c r="C23" s="108">
        <v>43399</v>
      </c>
      <c r="D23" s="26">
        <v>830054076</v>
      </c>
      <c r="E23" s="27" t="str">
        <f>VLOOKUP(D23,[1]TERCEROS!$A$2:$C$4000,3,FALSE)</f>
        <v>FIDEICOMISOS SOCIEDAD FIDUCIARIA</v>
      </c>
      <c r="F23" s="28" t="s">
        <v>33</v>
      </c>
      <c r="G23" s="29">
        <v>9700</v>
      </c>
      <c r="H23" s="178">
        <v>0</v>
      </c>
      <c r="I23" s="231">
        <f t="shared" si="0"/>
        <v>9700</v>
      </c>
    </row>
    <row r="24" spans="1:9" s="1" customFormat="1" ht="15" thickBot="1" x14ac:dyDescent="0.4">
      <c r="A24" s="82">
        <v>15</v>
      </c>
      <c r="B24" s="341"/>
      <c r="C24" s="108">
        <v>43399</v>
      </c>
      <c r="D24" s="26">
        <v>830054076</v>
      </c>
      <c r="E24" s="27" t="str">
        <f>VLOOKUP(D24,[1]TERCEROS!$A$2:$C$4000,3,FALSE)</f>
        <v>FIDEICOMISOS SOCIEDAD FIDUCIARIA</v>
      </c>
      <c r="F24" s="28" t="s">
        <v>33</v>
      </c>
      <c r="G24" s="29">
        <v>9700</v>
      </c>
      <c r="H24" s="178">
        <v>0</v>
      </c>
      <c r="I24" s="231">
        <f t="shared" si="0"/>
        <v>9700</v>
      </c>
    </row>
    <row r="25" spans="1:9" s="1" customFormat="1" ht="15" thickBot="1" x14ac:dyDescent="0.4">
      <c r="A25" s="82">
        <v>16</v>
      </c>
      <c r="B25" s="341"/>
      <c r="C25" s="108">
        <v>43376</v>
      </c>
      <c r="D25" s="26">
        <v>830054076</v>
      </c>
      <c r="E25" s="27" t="str">
        <f>VLOOKUP(D25,[1]TERCEROS!$A$2:$C$4000,3,FALSE)</f>
        <v>FIDEICOMISOS SOCIEDAD FIDUCIARIA</v>
      </c>
      <c r="F25" s="28" t="s">
        <v>33</v>
      </c>
      <c r="G25" s="29">
        <v>9700</v>
      </c>
      <c r="H25" s="178">
        <v>0</v>
      </c>
      <c r="I25" s="231">
        <f t="shared" si="0"/>
        <v>9700</v>
      </c>
    </row>
    <row r="26" spans="1:9" s="1" customFormat="1" ht="15" thickBot="1" x14ac:dyDescent="0.4">
      <c r="A26" s="82">
        <v>17</v>
      </c>
      <c r="B26" s="341"/>
      <c r="C26" s="108">
        <v>43376</v>
      </c>
      <c r="D26" s="26">
        <v>830054076</v>
      </c>
      <c r="E26" s="27" t="str">
        <f>VLOOKUP(D26,[1]TERCEROS!$A$2:$C$4000,3,FALSE)</f>
        <v>FIDEICOMISOS SOCIEDAD FIDUCIARIA</v>
      </c>
      <c r="F26" s="28" t="s">
        <v>33</v>
      </c>
      <c r="G26" s="29">
        <v>9700</v>
      </c>
      <c r="H26" s="178">
        <v>0</v>
      </c>
      <c r="I26" s="231">
        <f t="shared" si="0"/>
        <v>9700</v>
      </c>
    </row>
    <row r="27" spans="1:9" s="1" customFormat="1" ht="15" thickBot="1" x14ac:dyDescent="0.4">
      <c r="A27" s="82">
        <v>18</v>
      </c>
      <c r="B27" s="341"/>
      <c r="C27" s="108">
        <v>43403</v>
      </c>
      <c r="D27" s="26">
        <v>830054076</v>
      </c>
      <c r="E27" s="27" t="str">
        <f>VLOOKUP(D27,[1]TERCEROS!$A$2:$C$4000,3,FALSE)</f>
        <v>FIDEICOMISOS SOCIEDAD FIDUCIARIA</v>
      </c>
      <c r="F27" s="28" t="s">
        <v>33</v>
      </c>
      <c r="G27" s="29">
        <v>9700</v>
      </c>
      <c r="H27" s="178">
        <v>0</v>
      </c>
      <c r="I27" s="231">
        <f t="shared" si="0"/>
        <v>9700</v>
      </c>
    </row>
    <row r="28" spans="1:9" s="1" customFormat="1" ht="15" thickBot="1" x14ac:dyDescent="0.4">
      <c r="A28" s="82">
        <v>19</v>
      </c>
      <c r="B28" s="341"/>
      <c r="C28" s="108">
        <v>43403</v>
      </c>
      <c r="D28" s="26">
        <v>830054076</v>
      </c>
      <c r="E28" s="27" t="str">
        <f>VLOOKUP(D28,[1]TERCEROS!$A$2:$C$4000,3,FALSE)</f>
        <v>FIDEICOMISOS SOCIEDAD FIDUCIARIA</v>
      </c>
      <c r="F28" s="28" t="s">
        <v>33</v>
      </c>
      <c r="G28" s="29">
        <v>9700</v>
      </c>
      <c r="H28" s="178">
        <v>0</v>
      </c>
      <c r="I28" s="231">
        <f t="shared" si="0"/>
        <v>9700</v>
      </c>
    </row>
    <row r="29" spans="1:9" s="1" customFormat="1" ht="15" thickBot="1" x14ac:dyDescent="0.4">
      <c r="A29" s="82">
        <v>20</v>
      </c>
      <c r="B29" s="341"/>
      <c r="C29" s="108">
        <v>43411</v>
      </c>
      <c r="D29" s="26">
        <v>830054076</v>
      </c>
      <c r="E29" s="27" t="str">
        <f>VLOOKUP(D29,[1]TERCEROS!$A$2:$C$4000,3,FALSE)</f>
        <v>FIDEICOMISOS SOCIEDAD FIDUCIARIA</v>
      </c>
      <c r="F29" s="28" t="s">
        <v>33</v>
      </c>
      <c r="G29" s="29">
        <v>9700</v>
      </c>
      <c r="H29" s="178">
        <v>0</v>
      </c>
      <c r="I29" s="231">
        <f t="shared" si="0"/>
        <v>9700</v>
      </c>
    </row>
    <row r="30" spans="1:9" s="1" customFormat="1" ht="15" thickBot="1" x14ac:dyDescent="0.4">
      <c r="A30" s="82">
        <v>21</v>
      </c>
      <c r="B30" s="341"/>
      <c r="C30" s="108">
        <v>43406</v>
      </c>
      <c r="D30" s="26">
        <v>830054076</v>
      </c>
      <c r="E30" s="27" t="str">
        <f>VLOOKUP(D30,[1]TERCEROS!$A$2:$C$4000,3,FALSE)</f>
        <v>FIDEICOMISOS SOCIEDAD FIDUCIARIA</v>
      </c>
      <c r="F30" s="28" t="s">
        <v>33</v>
      </c>
      <c r="G30" s="29">
        <v>9700</v>
      </c>
      <c r="H30" s="178">
        <v>0</v>
      </c>
      <c r="I30" s="231">
        <f t="shared" si="0"/>
        <v>9700</v>
      </c>
    </row>
    <row r="31" spans="1:9" s="1" customFormat="1" ht="15" thickBot="1" x14ac:dyDescent="0.4">
      <c r="A31" s="82">
        <v>22</v>
      </c>
      <c r="B31" s="341"/>
      <c r="C31" s="108">
        <v>43410</v>
      </c>
      <c r="D31" s="26">
        <v>830054076</v>
      </c>
      <c r="E31" s="27" t="str">
        <f>VLOOKUP(D31,[1]TERCEROS!$A$2:$C$4000,3,FALSE)</f>
        <v>FIDEICOMISOS SOCIEDAD FIDUCIARIA</v>
      </c>
      <c r="F31" s="28" t="s">
        <v>33</v>
      </c>
      <c r="G31" s="29">
        <v>9700</v>
      </c>
      <c r="H31" s="178">
        <v>0</v>
      </c>
      <c r="I31" s="231">
        <f t="shared" si="0"/>
        <v>9700</v>
      </c>
    </row>
    <row r="32" spans="1:9" s="1" customFormat="1" ht="15" thickBot="1" x14ac:dyDescent="0.4">
      <c r="A32" s="82">
        <v>23</v>
      </c>
      <c r="B32" s="341"/>
      <c r="C32" s="108">
        <v>43410</v>
      </c>
      <c r="D32" s="26">
        <v>830054076</v>
      </c>
      <c r="E32" s="27" t="str">
        <f>VLOOKUP(D32,[1]TERCEROS!$A$2:$C$4000,3,FALSE)</f>
        <v>FIDEICOMISOS SOCIEDAD FIDUCIARIA</v>
      </c>
      <c r="F32" s="28" t="s">
        <v>33</v>
      </c>
      <c r="G32" s="29">
        <v>9700</v>
      </c>
      <c r="H32" s="178">
        <v>0</v>
      </c>
      <c r="I32" s="231">
        <f t="shared" si="0"/>
        <v>9700</v>
      </c>
    </row>
    <row r="33" spans="1:9" s="1" customFormat="1" ht="15" thickBot="1" x14ac:dyDescent="0.4">
      <c r="A33" s="82">
        <v>24</v>
      </c>
      <c r="B33" s="341"/>
      <c r="C33" s="108">
        <v>43403</v>
      </c>
      <c r="D33" s="26">
        <v>830054076</v>
      </c>
      <c r="E33" s="27" t="str">
        <f>VLOOKUP(D33,[1]TERCEROS!$A$2:$C$4000,3,FALSE)</f>
        <v>FIDEICOMISOS SOCIEDAD FIDUCIARIA</v>
      </c>
      <c r="F33" s="28" t="s">
        <v>33</v>
      </c>
      <c r="G33" s="29">
        <v>9700</v>
      </c>
      <c r="H33" s="178">
        <v>0</v>
      </c>
      <c r="I33" s="231">
        <f t="shared" si="0"/>
        <v>9700</v>
      </c>
    </row>
    <row r="34" spans="1:9" s="1" customFormat="1" ht="15" thickBot="1" x14ac:dyDescent="0.4">
      <c r="A34" s="82">
        <v>25</v>
      </c>
      <c r="B34" s="341"/>
      <c r="C34" s="108">
        <v>43292</v>
      </c>
      <c r="D34" s="26">
        <v>900754508</v>
      </c>
      <c r="E34" s="27" t="s">
        <v>444</v>
      </c>
      <c r="F34" s="28" t="s">
        <v>445</v>
      </c>
      <c r="G34" s="29">
        <v>142500</v>
      </c>
      <c r="H34" s="178">
        <v>0</v>
      </c>
      <c r="I34" s="231">
        <f t="shared" si="0"/>
        <v>142500</v>
      </c>
    </row>
    <row r="35" spans="1:9" s="1" customFormat="1" ht="15" thickBot="1" x14ac:dyDescent="0.4">
      <c r="A35" s="82">
        <v>26</v>
      </c>
      <c r="B35" s="341"/>
      <c r="C35" s="108">
        <v>43346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9700</v>
      </c>
      <c r="H35" s="178">
        <v>0</v>
      </c>
      <c r="I35" s="231">
        <f t="shared" si="0"/>
        <v>9700</v>
      </c>
    </row>
    <row r="36" spans="1:9" s="1" customFormat="1" ht="15" thickBot="1" x14ac:dyDescent="0.4">
      <c r="A36" s="82">
        <v>27</v>
      </c>
      <c r="B36" s="341"/>
      <c r="C36" s="108">
        <v>43346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178">
        <v>0</v>
      </c>
      <c r="I36" s="231">
        <f t="shared" si="0"/>
        <v>9700</v>
      </c>
    </row>
    <row r="37" spans="1:9" s="1" customFormat="1" ht="15" thickBot="1" x14ac:dyDescent="0.4">
      <c r="A37" s="82">
        <v>28</v>
      </c>
      <c r="B37" s="341"/>
      <c r="C37" s="108">
        <v>43292</v>
      </c>
      <c r="D37" s="26">
        <v>900754508</v>
      </c>
      <c r="E37" s="27" t="s">
        <v>444</v>
      </c>
      <c r="F37" s="28" t="s">
        <v>445</v>
      </c>
      <c r="G37" s="29">
        <v>190000</v>
      </c>
      <c r="H37" s="178">
        <v>0</v>
      </c>
      <c r="I37" s="231">
        <f t="shared" si="0"/>
        <v>190000</v>
      </c>
    </row>
    <row r="38" spans="1:9" s="1" customFormat="1" ht="15" thickBot="1" x14ac:dyDescent="0.4">
      <c r="A38" s="82">
        <v>29</v>
      </c>
      <c r="B38" s="341"/>
      <c r="C38" s="108">
        <v>43313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9700</v>
      </c>
      <c r="H38" s="178">
        <v>0</v>
      </c>
      <c r="I38" s="231">
        <f t="shared" si="0"/>
        <v>9700</v>
      </c>
    </row>
    <row r="39" spans="1:9" s="1" customFormat="1" ht="15" thickBot="1" x14ac:dyDescent="0.4">
      <c r="A39" s="82">
        <v>30</v>
      </c>
      <c r="B39" s="346"/>
      <c r="C39" s="108">
        <v>43313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9700</v>
      </c>
      <c r="H39" s="178">
        <v>0</v>
      </c>
      <c r="I39" s="231">
        <f t="shared" si="0"/>
        <v>9700</v>
      </c>
    </row>
    <row r="40" spans="1:9" s="1" customFormat="1" ht="15" thickBot="1" x14ac:dyDescent="0.4">
      <c r="A40" s="82">
        <v>31</v>
      </c>
      <c r="B40" s="341" t="s">
        <v>197</v>
      </c>
      <c r="C40" s="108">
        <v>43411</v>
      </c>
      <c r="D40" s="26">
        <v>11449527</v>
      </c>
      <c r="E40" s="27" t="s">
        <v>446</v>
      </c>
      <c r="F40" s="28" t="s">
        <v>447</v>
      </c>
      <c r="G40" s="29">
        <v>115000</v>
      </c>
      <c r="H40" s="178">
        <v>0</v>
      </c>
      <c r="I40" s="231">
        <f t="shared" si="0"/>
        <v>115000</v>
      </c>
    </row>
    <row r="41" spans="1:9" s="1" customFormat="1" ht="15" thickBot="1" x14ac:dyDescent="0.4">
      <c r="A41" s="82">
        <v>32</v>
      </c>
      <c r="B41" s="341"/>
      <c r="C41" s="108">
        <v>43413</v>
      </c>
      <c r="D41" s="26">
        <v>3028483</v>
      </c>
      <c r="E41" s="27" t="s">
        <v>448</v>
      </c>
      <c r="F41" s="28" t="s">
        <v>449</v>
      </c>
      <c r="G41" s="29">
        <v>230000</v>
      </c>
      <c r="H41" s="178">
        <v>0</v>
      </c>
      <c r="I41" s="231">
        <f t="shared" si="0"/>
        <v>230000</v>
      </c>
    </row>
    <row r="42" spans="1:9" s="1" customFormat="1" ht="15" thickBot="1" x14ac:dyDescent="0.4">
      <c r="A42" s="82">
        <v>33</v>
      </c>
      <c r="B42" s="341"/>
      <c r="C42" s="108">
        <v>43410</v>
      </c>
      <c r="D42" s="26">
        <v>830054076</v>
      </c>
      <c r="E42" s="27" t="str">
        <f>VLOOKUP(D42,[1]TERCEROS!$A$2:$C$4000,3,FALSE)</f>
        <v>FIDEICOMISOS SOCIEDAD FIDUCIARIA</v>
      </c>
      <c r="F42" s="28" t="s">
        <v>33</v>
      </c>
      <c r="G42" s="29">
        <v>9700</v>
      </c>
      <c r="H42" s="178">
        <v>0</v>
      </c>
      <c r="I42" s="231">
        <f t="shared" si="0"/>
        <v>9700</v>
      </c>
    </row>
    <row r="43" spans="1:9" s="1" customFormat="1" ht="15" thickBot="1" x14ac:dyDescent="0.4">
      <c r="A43" s="82">
        <v>34</v>
      </c>
      <c r="B43" s="341"/>
      <c r="C43" s="108">
        <v>43410</v>
      </c>
      <c r="D43" s="26">
        <v>830054076</v>
      </c>
      <c r="E43" s="27" t="str">
        <f>VLOOKUP(D43,[1]TERCEROS!$A$2:$C$4000,3,FALSE)</f>
        <v>FIDEICOMISOS SOCIEDAD FIDUCIARIA</v>
      </c>
      <c r="F43" s="28" t="s">
        <v>33</v>
      </c>
      <c r="G43" s="29">
        <v>9700</v>
      </c>
      <c r="H43" s="178">
        <v>0</v>
      </c>
      <c r="I43" s="231">
        <f t="shared" si="0"/>
        <v>9700</v>
      </c>
    </row>
    <row r="44" spans="1:9" s="1" customFormat="1" ht="15" thickBot="1" x14ac:dyDescent="0.4">
      <c r="A44" s="82">
        <v>35</v>
      </c>
      <c r="B44" s="341"/>
      <c r="C44" s="108">
        <v>43410</v>
      </c>
      <c r="D44" s="26">
        <v>900491889</v>
      </c>
      <c r="E44" s="27" t="str">
        <f>VLOOKUP(D44,[1]TERCEROS!$A$2:$C$4000,3,FALSE)</f>
        <v>EDS TERMINAL NEIVA</v>
      </c>
      <c r="F44" s="28" t="s">
        <v>34</v>
      </c>
      <c r="G44" s="29">
        <v>50000</v>
      </c>
      <c r="H44" s="178">
        <v>0</v>
      </c>
      <c r="I44" s="231">
        <f t="shared" si="0"/>
        <v>50000</v>
      </c>
    </row>
    <row r="45" spans="1:9" s="1" customFormat="1" ht="15" thickBot="1" x14ac:dyDescent="0.4">
      <c r="A45" s="82">
        <v>36</v>
      </c>
      <c r="B45" s="341"/>
      <c r="C45" s="132">
        <v>43413</v>
      </c>
      <c r="D45" s="91">
        <v>830133865</v>
      </c>
      <c r="E45" s="92" t="s">
        <v>450</v>
      </c>
      <c r="F45" s="86" t="s">
        <v>451</v>
      </c>
      <c r="G45" s="87">
        <v>102000</v>
      </c>
      <c r="H45" s="180">
        <f>+G45*19%</f>
        <v>19380</v>
      </c>
      <c r="I45" s="239">
        <f t="shared" si="0"/>
        <v>121380</v>
      </c>
    </row>
    <row r="46" spans="1:9" s="1" customFormat="1" ht="24.5" thickBot="1" x14ac:dyDescent="0.4">
      <c r="A46" s="82">
        <v>37</v>
      </c>
      <c r="B46" s="237" t="s">
        <v>98</v>
      </c>
      <c r="C46" s="95">
        <v>43383</v>
      </c>
      <c r="D46" s="96">
        <v>860450098</v>
      </c>
      <c r="E46" s="97" t="s">
        <v>452</v>
      </c>
      <c r="F46" s="98" t="s">
        <v>453</v>
      </c>
      <c r="G46" s="99">
        <v>283920</v>
      </c>
      <c r="H46" s="201">
        <v>0</v>
      </c>
      <c r="I46" s="233">
        <f t="shared" si="0"/>
        <v>283920</v>
      </c>
    </row>
    <row r="47" spans="1:9" s="1" customFormat="1" ht="15" thickBot="1" x14ac:dyDescent="0.4">
      <c r="A47" s="82">
        <v>38</v>
      </c>
      <c r="B47" s="241" t="s">
        <v>454</v>
      </c>
      <c r="C47" s="95">
        <v>43411</v>
      </c>
      <c r="D47" s="96">
        <v>900491889</v>
      </c>
      <c r="E47" s="97" t="str">
        <f>VLOOKUP(D47,[1]TERCEROS!$A$2:$C$4000,3,FALSE)</f>
        <v>EDS TERMINAL NEIVA</v>
      </c>
      <c r="F47" s="98" t="s">
        <v>68</v>
      </c>
      <c r="G47" s="99">
        <v>15800</v>
      </c>
      <c r="H47" s="201">
        <v>0</v>
      </c>
      <c r="I47" s="233">
        <f t="shared" si="0"/>
        <v>15800</v>
      </c>
    </row>
    <row r="48" spans="1:9" s="1" customFormat="1" ht="15" thickBot="1" x14ac:dyDescent="0.4">
      <c r="A48" s="82">
        <v>39</v>
      </c>
      <c r="B48" s="340" t="s">
        <v>396</v>
      </c>
      <c r="C48" s="203">
        <v>43410</v>
      </c>
      <c r="D48" s="120">
        <v>52820243</v>
      </c>
      <c r="E48" s="121" t="s">
        <v>455</v>
      </c>
      <c r="F48" s="122" t="s">
        <v>456</v>
      </c>
      <c r="G48" s="123">
        <v>45000</v>
      </c>
      <c r="H48" s="204">
        <v>0</v>
      </c>
      <c r="I48" s="240">
        <f t="shared" si="0"/>
        <v>45000</v>
      </c>
    </row>
    <row r="49" spans="1:37" s="1" customFormat="1" ht="15" thickBot="1" x14ac:dyDescent="0.4">
      <c r="A49" s="82">
        <v>40</v>
      </c>
      <c r="B49" s="341"/>
      <c r="C49" s="108">
        <v>43410</v>
      </c>
      <c r="D49" s="26">
        <v>900491889</v>
      </c>
      <c r="E49" s="27" t="str">
        <f>VLOOKUP(D49,[1]TERCEROS!$A$2:$C$4000,3,FALSE)</f>
        <v>EDS TERMINAL NEIVA</v>
      </c>
      <c r="F49" s="28" t="s">
        <v>34</v>
      </c>
      <c r="G49" s="29">
        <v>40004</v>
      </c>
      <c r="H49" s="178">
        <v>0</v>
      </c>
      <c r="I49" s="231">
        <f t="shared" si="0"/>
        <v>40004</v>
      </c>
    </row>
    <row r="50" spans="1:37" s="1" customFormat="1" ht="15" thickBot="1" x14ac:dyDescent="0.4">
      <c r="A50" s="82">
        <v>41</v>
      </c>
      <c r="B50" s="341"/>
      <c r="C50" s="108">
        <v>43413</v>
      </c>
      <c r="D50" s="26">
        <v>900491889</v>
      </c>
      <c r="E50" s="27" t="str">
        <f>VLOOKUP(D50,[1]TERCEROS!$A$2:$C$4000,3,FALSE)</f>
        <v>EDS TERMINAL NEIVA</v>
      </c>
      <c r="F50" s="28" t="s">
        <v>457</v>
      </c>
      <c r="G50" s="29">
        <v>90900</v>
      </c>
      <c r="H50" s="178">
        <v>0</v>
      </c>
      <c r="I50" s="231">
        <f t="shared" si="0"/>
        <v>90900</v>
      </c>
    </row>
    <row r="51" spans="1:37" s="1" customFormat="1" ht="15" thickBot="1" x14ac:dyDescent="0.4">
      <c r="A51" s="82">
        <v>42</v>
      </c>
      <c r="B51" s="341"/>
      <c r="C51" s="108">
        <v>43412</v>
      </c>
      <c r="D51" s="26">
        <v>900491889</v>
      </c>
      <c r="E51" s="27" t="str">
        <f>VLOOKUP(D51,[1]TERCEROS!$A$2:$C$4000,3,FALSE)</f>
        <v>EDS TERMINAL NEIVA</v>
      </c>
      <c r="F51" s="28" t="s">
        <v>458</v>
      </c>
      <c r="G51" s="29">
        <v>41597</v>
      </c>
      <c r="H51" s="178">
        <v>2203</v>
      </c>
      <c r="I51" s="231">
        <f t="shared" si="0"/>
        <v>43800</v>
      </c>
    </row>
    <row r="52" spans="1:37" s="1" customFormat="1" ht="15" thickBot="1" x14ac:dyDescent="0.4">
      <c r="A52" s="82">
        <v>43</v>
      </c>
      <c r="B52" s="341"/>
      <c r="C52" s="108">
        <v>43412</v>
      </c>
      <c r="D52" s="26">
        <v>832005813</v>
      </c>
      <c r="E52" s="27" t="str">
        <f>VLOOKUP(D52,[1]TERCEROS!$A$2:$C$4000,3,FALSE)</f>
        <v>EMPRESA DE ACUEDUCTO COMUNAL DE LA PUNTA</v>
      </c>
      <c r="F52" s="28" t="s">
        <v>463</v>
      </c>
      <c r="G52" s="29">
        <v>162157</v>
      </c>
      <c r="H52" s="178">
        <v>0</v>
      </c>
      <c r="I52" s="231">
        <f t="shared" si="0"/>
        <v>162157</v>
      </c>
    </row>
    <row r="53" spans="1:37" s="1" customFormat="1" ht="15" thickBot="1" x14ac:dyDescent="0.4">
      <c r="A53" s="82">
        <v>44</v>
      </c>
      <c r="B53" s="341"/>
      <c r="C53" s="108">
        <v>43416</v>
      </c>
      <c r="D53" s="26">
        <v>1073507966</v>
      </c>
      <c r="E53" s="27" t="s">
        <v>464</v>
      </c>
      <c r="F53" s="28" t="s">
        <v>237</v>
      </c>
      <c r="G53" s="29">
        <v>8000</v>
      </c>
      <c r="H53" s="178">
        <v>0</v>
      </c>
      <c r="I53" s="231">
        <f t="shared" si="0"/>
        <v>8000</v>
      </c>
    </row>
    <row r="54" spans="1:37" s="1" customFormat="1" ht="15" thickBot="1" x14ac:dyDescent="0.4">
      <c r="A54" s="82">
        <v>45</v>
      </c>
      <c r="B54" s="341"/>
      <c r="C54" s="108">
        <v>43414</v>
      </c>
      <c r="D54" s="26">
        <v>222222222</v>
      </c>
      <c r="E54" s="27" t="str">
        <f>VLOOKUP(D54,[1]TERCEROS!$A$2:$C$4000,3,FALSE)</f>
        <v>CUANTIAS MINIMAS</v>
      </c>
      <c r="F54" s="28" t="s">
        <v>35</v>
      </c>
      <c r="G54" s="29">
        <v>4400</v>
      </c>
      <c r="H54" s="178">
        <v>0</v>
      </c>
      <c r="I54" s="231">
        <f t="shared" si="0"/>
        <v>4400</v>
      </c>
    </row>
    <row r="55" spans="1:37" s="1" customFormat="1" ht="15" thickBot="1" x14ac:dyDescent="0.4">
      <c r="A55" s="82">
        <v>46</v>
      </c>
      <c r="B55" s="341"/>
      <c r="C55" s="108">
        <v>43411</v>
      </c>
      <c r="D55" s="26">
        <v>830107120</v>
      </c>
      <c r="E55" s="27" t="s">
        <v>465</v>
      </c>
      <c r="F55" s="28" t="s">
        <v>35</v>
      </c>
      <c r="G55" s="29">
        <v>4600</v>
      </c>
      <c r="H55" s="178">
        <v>0</v>
      </c>
      <c r="I55" s="231">
        <f t="shared" si="0"/>
        <v>4600</v>
      </c>
    </row>
    <row r="56" spans="1:37" s="1" customFormat="1" ht="15" thickBot="1" x14ac:dyDescent="0.4">
      <c r="A56" s="82">
        <v>47</v>
      </c>
      <c r="B56" s="341"/>
      <c r="C56" s="108">
        <v>43413</v>
      </c>
      <c r="D56" s="26">
        <v>800056712</v>
      </c>
      <c r="E56" s="27" t="str">
        <f>VLOOKUP(D56,[1]TERCEROS!$A$2:$C$4000,3,FALSE)</f>
        <v>CC COMERCIAL BULEVAR</v>
      </c>
      <c r="F56" s="28" t="s">
        <v>35</v>
      </c>
      <c r="G56" s="29">
        <v>1471</v>
      </c>
      <c r="H56" s="178">
        <f>+G56*19%</f>
        <v>279.49</v>
      </c>
      <c r="I56" s="231">
        <f t="shared" si="0"/>
        <v>1750.49</v>
      </c>
    </row>
    <row r="57" spans="1:37" s="1" customFormat="1" ht="15" thickBot="1" x14ac:dyDescent="0.4">
      <c r="A57" s="82">
        <v>48</v>
      </c>
      <c r="B57" s="346"/>
      <c r="C57" s="108">
        <v>43413</v>
      </c>
      <c r="D57" s="26">
        <v>900534711</v>
      </c>
      <c r="E57" s="27" t="str">
        <f>VLOOKUP(D57,[1]TERCEROS!$A$2:$C$4000,3,FALSE)</f>
        <v>TITAN PLAZA CN COMERCIAL</v>
      </c>
      <c r="F57" s="28" t="s">
        <v>35</v>
      </c>
      <c r="G57" s="29">
        <v>504</v>
      </c>
      <c r="H57" s="178">
        <f>+G57*19%</f>
        <v>95.76</v>
      </c>
      <c r="I57" s="231">
        <f t="shared" si="0"/>
        <v>599.76</v>
      </c>
    </row>
    <row r="58" spans="1:37" s="1" customFormat="1" ht="15" thickBot="1" x14ac:dyDescent="0.4">
      <c r="A58" s="82">
        <v>49</v>
      </c>
      <c r="B58" s="340" t="s">
        <v>459</v>
      </c>
      <c r="C58" s="108">
        <v>43412</v>
      </c>
      <c r="D58" s="26">
        <v>800097424</v>
      </c>
      <c r="E58" s="27" t="str">
        <f>VLOOKUP(D58,[1]TERCEROS!$A$2:$C$4000,3,FALSE)</f>
        <v>DISTRIBUIDORA LA PUNTA LTDA</v>
      </c>
      <c r="F58" s="28" t="s">
        <v>460</v>
      </c>
      <c r="G58" s="29">
        <v>480338</v>
      </c>
      <c r="H58" s="178">
        <f>+G58*19%</f>
        <v>91264.22</v>
      </c>
      <c r="I58" s="231">
        <f t="shared" si="0"/>
        <v>571602.22</v>
      </c>
    </row>
    <row r="59" spans="1:37" s="1" customFormat="1" ht="24.5" thickBot="1" x14ac:dyDescent="0.4">
      <c r="A59" s="82">
        <v>50</v>
      </c>
      <c r="B59" s="346"/>
      <c r="C59" s="108">
        <v>43413</v>
      </c>
      <c r="D59" s="26">
        <v>52272205</v>
      </c>
      <c r="E59" s="27" t="s">
        <v>461</v>
      </c>
      <c r="F59" s="28" t="s">
        <v>462</v>
      </c>
      <c r="G59" s="29">
        <v>240000</v>
      </c>
      <c r="H59" s="178">
        <v>0</v>
      </c>
      <c r="I59" s="231">
        <f t="shared" si="0"/>
        <v>240000</v>
      </c>
    </row>
    <row r="60" spans="1:37" s="2" customFormat="1" ht="15.75" customHeight="1" thickBot="1" x14ac:dyDescent="0.4">
      <c r="A60" s="327" t="s">
        <v>442</v>
      </c>
      <c r="B60" s="328"/>
      <c r="C60" s="329"/>
      <c r="D60" s="329"/>
      <c r="E60" s="330"/>
      <c r="F60" s="93" t="s">
        <v>24</v>
      </c>
      <c r="G60" s="94">
        <f>SUM(G10:G59)</f>
        <v>2539191</v>
      </c>
      <c r="H60" s="94">
        <f>SUM(H10:H59)</f>
        <v>113222.47</v>
      </c>
      <c r="I60" s="94">
        <f>SUM(I10:I59)</f>
        <v>2652413.4699999997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s="2" customFormat="1" ht="15" customHeight="1" x14ac:dyDescent="0.35">
      <c r="A61" s="300" t="s">
        <v>26</v>
      </c>
      <c r="B61" s="301"/>
      <c r="C61" s="301"/>
      <c r="D61" s="306" t="s">
        <v>58</v>
      </c>
      <c r="E61" s="307"/>
      <c r="F61" s="312"/>
      <c r="G61" s="315" t="s">
        <v>16</v>
      </c>
      <c r="H61" s="316"/>
      <c r="I61" s="35">
        <v>3000000</v>
      </c>
      <c r="J61" s="1"/>
      <c r="K61" s="1"/>
      <c r="L61" s="1"/>
      <c r="M61" s="2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s="2" customFormat="1" ht="15" customHeight="1" x14ac:dyDescent="0.35">
      <c r="A62" s="302"/>
      <c r="B62" s="303"/>
      <c r="C62" s="303"/>
      <c r="D62" s="308"/>
      <c r="E62" s="309"/>
      <c r="F62" s="313"/>
      <c r="G62" s="317" t="s">
        <v>17</v>
      </c>
      <c r="H62" s="318"/>
      <c r="I62" s="36">
        <f>+I61-I60</f>
        <v>347586.53000000026</v>
      </c>
      <c r="J62" s="1"/>
      <c r="K62" s="1"/>
      <c r="L62" s="1"/>
      <c r="M62" s="2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s="1" customFormat="1" ht="15.75" customHeight="1" thickBot="1" x14ac:dyDescent="0.4">
      <c r="A63" s="304"/>
      <c r="B63" s="305"/>
      <c r="C63" s="305"/>
      <c r="D63" s="310"/>
      <c r="E63" s="311"/>
      <c r="F63" s="314"/>
      <c r="G63" s="289" t="s">
        <v>5</v>
      </c>
      <c r="H63" s="290"/>
      <c r="I63" s="37">
        <f>+I61-I62</f>
        <v>2652413.4699999997</v>
      </c>
    </row>
    <row r="64" spans="1:37" s="1" customFormat="1" ht="15" thickBot="1" x14ac:dyDescent="0.4">
      <c r="A64" s="291" t="s">
        <v>25</v>
      </c>
      <c r="B64" s="292"/>
      <c r="C64" s="292"/>
      <c r="D64" s="293"/>
      <c r="E64" s="38"/>
      <c r="F64" s="38"/>
      <c r="G64" s="38"/>
      <c r="H64" s="38"/>
      <c r="I64" s="39"/>
    </row>
    <row r="65" spans="1:37" s="1" customFormat="1" ht="15" thickBot="1" x14ac:dyDescent="0.4">
      <c r="A65" s="40"/>
      <c r="B65" s="41" t="s">
        <v>6</v>
      </c>
      <c r="C65" s="42">
        <f>D81</f>
        <v>297550</v>
      </c>
      <c r="D65" s="39"/>
      <c r="E65" s="43">
        <f>C65+C68+I60</f>
        <v>2999963.4699999997</v>
      </c>
      <c r="F65" s="43"/>
      <c r="G65" s="38"/>
      <c r="H65" s="38"/>
      <c r="I65" s="44"/>
    </row>
    <row r="66" spans="1:37" s="1" customFormat="1" ht="15" thickBot="1" x14ac:dyDescent="0.4">
      <c r="A66" s="40"/>
      <c r="B66" s="41" t="s">
        <v>443</v>
      </c>
      <c r="C66" s="45">
        <v>50000</v>
      </c>
      <c r="D66" s="39"/>
      <c r="E66" s="43">
        <f>+E65-I61</f>
        <v>-36.53000000026077</v>
      </c>
      <c r="F66" s="38"/>
      <c r="G66" s="38"/>
      <c r="H66" s="38"/>
      <c r="I66" s="39"/>
    </row>
    <row r="67" spans="1:37" s="1" customFormat="1" ht="15" thickBot="1" x14ac:dyDescent="0.4">
      <c r="A67" s="40"/>
      <c r="B67" s="46"/>
      <c r="C67" s="45"/>
      <c r="D67" s="39"/>
      <c r="E67" s="43"/>
      <c r="F67" s="38"/>
      <c r="G67" s="38"/>
      <c r="H67" s="38"/>
      <c r="I67" s="39"/>
    </row>
    <row r="68" spans="1:37" s="1" customFormat="1" ht="15" thickBot="1" x14ac:dyDescent="0.4">
      <c r="A68" s="40"/>
      <c r="B68" s="47" t="s">
        <v>7</v>
      </c>
      <c r="C68" s="45">
        <f>SUM(C66:C67)</f>
        <v>50000</v>
      </c>
      <c r="D68" s="39"/>
      <c r="E68" s="48"/>
      <c r="F68" s="48"/>
      <c r="G68" s="48"/>
      <c r="H68" s="48"/>
      <c r="I68" s="49"/>
    </row>
    <row r="69" spans="1:37" s="1" customFormat="1" ht="15" thickBot="1" x14ac:dyDescent="0.4">
      <c r="A69" s="40"/>
      <c r="B69" s="50"/>
      <c r="C69" s="51"/>
      <c r="D69" s="39"/>
      <c r="E69" s="48"/>
      <c r="F69" s="48"/>
      <c r="G69" s="48"/>
      <c r="H69" s="48"/>
      <c r="I69" s="49"/>
    </row>
    <row r="70" spans="1:37" s="1" customFormat="1" ht="15" thickBot="1" x14ac:dyDescent="0.4">
      <c r="A70" s="40"/>
      <c r="B70" s="52"/>
      <c r="C70" s="53" t="s">
        <v>11</v>
      </c>
      <c r="D70" s="54" t="s">
        <v>4</v>
      </c>
      <c r="E70" s="38"/>
      <c r="F70" s="55"/>
      <c r="G70" s="38"/>
      <c r="H70" s="38"/>
      <c r="I70" s="39"/>
    </row>
    <row r="71" spans="1:37" s="1" customFormat="1" ht="14.5" x14ac:dyDescent="0.35">
      <c r="A71" s="40"/>
      <c r="B71" s="56">
        <v>5</v>
      </c>
      <c r="C71" s="57">
        <v>50000</v>
      </c>
      <c r="D71" s="58">
        <f t="shared" ref="D71:D80" si="1">+C71*B71</f>
        <v>250000</v>
      </c>
      <c r="E71" s="236" t="s">
        <v>29</v>
      </c>
      <c r="F71" s="60" t="s">
        <v>27</v>
      </c>
      <c r="G71" s="294" t="s">
        <v>28</v>
      </c>
      <c r="H71" s="294"/>
      <c r="I71" s="295"/>
    </row>
    <row r="72" spans="1:37" s="5" customFormat="1" ht="15" customHeight="1" x14ac:dyDescent="0.35">
      <c r="A72" s="40"/>
      <c r="B72" s="62">
        <v>1</v>
      </c>
      <c r="C72" s="63">
        <v>20000</v>
      </c>
      <c r="D72" s="58">
        <f t="shared" si="1"/>
        <v>20000</v>
      </c>
      <c r="E72" s="234" t="s">
        <v>19</v>
      </c>
      <c r="F72" s="234" t="s">
        <v>20</v>
      </c>
      <c r="G72" s="296" t="s">
        <v>21</v>
      </c>
      <c r="H72" s="296"/>
      <c r="I72" s="29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s="5" customFormat="1" ht="15" customHeight="1" x14ac:dyDescent="0.35">
      <c r="A73" s="40"/>
      <c r="B73" s="62">
        <v>2</v>
      </c>
      <c r="C73" s="63">
        <v>10000</v>
      </c>
      <c r="D73" s="58">
        <f t="shared" si="1"/>
        <v>20000</v>
      </c>
      <c r="E73" s="235" t="s">
        <v>79</v>
      </c>
      <c r="F73" s="235" t="s">
        <v>80</v>
      </c>
      <c r="G73" s="298" t="s">
        <v>81</v>
      </c>
      <c r="H73" s="298"/>
      <c r="I73" s="29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s="5" customFormat="1" ht="15" customHeight="1" x14ac:dyDescent="0.35">
      <c r="A74" s="40"/>
      <c r="B74" s="62"/>
      <c r="C74" s="63">
        <v>5000</v>
      </c>
      <c r="D74" s="58">
        <f t="shared" si="1"/>
        <v>0</v>
      </c>
      <c r="E74" s="38" t="s">
        <v>0</v>
      </c>
      <c r="F74" s="38"/>
      <c r="G74" s="38"/>
      <c r="H74" s="38"/>
      <c r="I74" s="3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s="5" customFormat="1" ht="15" customHeight="1" x14ac:dyDescent="0.35">
      <c r="A75" s="40"/>
      <c r="B75" s="62">
        <v>3</v>
      </c>
      <c r="C75" s="63">
        <v>2000</v>
      </c>
      <c r="D75" s="58">
        <f t="shared" si="1"/>
        <v>6000</v>
      </c>
      <c r="E75" s="38"/>
      <c r="F75" s="38" t="s">
        <v>8</v>
      </c>
      <c r="G75" s="38"/>
      <c r="H75" s="38"/>
      <c r="I75" s="3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s="5" customFormat="1" ht="15" customHeight="1" x14ac:dyDescent="0.35">
      <c r="A76" s="40"/>
      <c r="B76" s="62">
        <v>1</v>
      </c>
      <c r="C76" s="63">
        <v>1000</v>
      </c>
      <c r="D76" s="58">
        <f t="shared" si="1"/>
        <v>1000</v>
      </c>
      <c r="E76" s="38"/>
      <c r="F76" s="38"/>
      <c r="G76" s="38"/>
      <c r="H76" s="38"/>
      <c r="I76" s="3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s="1" customFormat="1" ht="15" customHeight="1" x14ac:dyDescent="0.35">
      <c r="A77" s="40"/>
      <c r="B77" s="62"/>
      <c r="C77" s="63">
        <v>500</v>
      </c>
      <c r="D77" s="58">
        <f t="shared" si="1"/>
        <v>0</v>
      </c>
      <c r="E77" s="38"/>
      <c r="F77" s="38"/>
      <c r="G77" s="38"/>
      <c r="H77" s="38"/>
      <c r="I77" s="39"/>
    </row>
    <row r="78" spans="1:37" s="1" customFormat="1" ht="15" customHeight="1" x14ac:dyDescent="0.35">
      <c r="A78" s="40"/>
      <c r="B78" s="62"/>
      <c r="C78" s="63">
        <v>200</v>
      </c>
      <c r="D78" s="58">
        <f t="shared" si="1"/>
        <v>0</v>
      </c>
      <c r="E78" s="38"/>
      <c r="F78" s="38"/>
      <c r="G78" s="38"/>
      <c r="H78" s="38"/>
      <c r="I78" s="39"/>
    </row>
    <row r="79" spans="1:37" s="1" customFormat="1" ht="15" customHeight="1" x14ac:dyDescent="0.35">
      <c r="A79" s="40"/>
      <c r="B79" s="62">
        <v>5</v>
      </c>
      <c r="C79" s="63">
        <v>100</v>
      </c>
      <c r="D79" s="58">
        <f>+C79*B79</f>
        <v>500</v>
      </c>
      <c r="E79" s="38"/>
      <c r="F79" s="38"/>
      <c r="G79" s="38"/>
      <c r="H79" s="38"/>
      <c r="I79" s="39"/>
    </row>
    <row r="80" spans="1:37" s="5" customFormat="1" ht="15" customHeight="1" thickBot="1" x14ac:dyDescent="0.4">
      <c r="A80" s="40"/>
      <c r="B80" s="68">
        <v>1</v>
      </c>
      <c r="C80" s="69">
        <v>50</v>
      </c>
      <c r="D80" s="58">
        <f t="shared" si="1"/>
        <v>50</v>
      </c>
      <c r="E80" s="38"/>
      <c r="F80" s="38"/>
      <c r="G80" s="38"/>
      <c r="H80" s="38"/>
      <c r="I80" s="3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s="1" customFormat="1" ht="15" customHeight="1" thickBot="1" x14ac:dyDescent="0.4">
      <c r="A81" s="40"/>
      <c r="B81" s="236"/>
      <c r="C81" s="70"/>
      <c r="D81" s="71">
        <f>SUM(D71:D80)</f>
        <v>297550</v>
      </c>
      <c r="E81" s="38"/>
      <c r="F81" s="38"/>
      <c r="G81" s="38"/>
      <c r="H81" s="38"/>
      <c r="I81" s="39"/>
    </row>
    <row r="82" spans="1:37" s="5" customFormat="1" ht="15" customHeight="1" thickBot="1" x14ac:dyDescent="0.4">
      <c r="A82" s="72"/>
      <c r="B82" s="73"/>
      <c r="C82" s="74"/>
      <c r="D82" s="75"/>
      <c r="E82" s="76"/>
      <c r="F82" s="76"/>
      <c r="G82" s="76"/>
      <c r="H82" s="76"/>
      <c r="I82" s="7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s="5" customFormat="1" ht="22.5" customHeight="1" x14ac:dyDescent="0.35">
      <c r="A83" s="1"/>
      <c r="B83"/>
      <c r="C83" s="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s="3" customFormat="1" ht="22.5" customHeight="1" x14ac:dyDescent="0.35">
      <c r="A84"/>
      <c r="B84"/>
      <c r="C84" s="6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 spans="1:37" s="3" customFormat="1" ht="22.5" customHeight="1" x14ac:dyDescent="0.35">
      <c r="A85"/>
      <c r="B85"/>
      <c r="C85" s="6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37" s="3" customFormat="1" ht="22.5" customHeight="1" x14ac:dyDescent="0.35">
      <c r="A86"/>
      <c r="B86"/>
      <c r="C86" s="6"/>
      <c r="D86" s="7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</sheetData>
  <autoFilter ref="C9:J68"/>
  <mergeCells count="24">
    <mergeCell ref="A64:D64"/>
    <mergeCell ref="G71:I71"/>
    <mergeCell ref="G72:I72"/>
    <mergeCell ref="G73:I73"/>
    <mergeCell ref="B11:B39"/>
    <mergeCell ref="B40:B45"/>
    <mergeCell ref="A7:B7"/>
    <mergeCell ref="C7:I7"/>
    <mergeCell ref="A8:I8"/>
    <mergeCell ref="A60:E60"/>
    <mergeCell ref="A61:C63"/>
    <mergeCell ref="D61:E63"/>
    <mergeCell ref="F61:F63"/>
    <mergeCell ref="G61:H61"/>
    <mergeCell ref="G62:H62"/>
    <mergeCell ref="B58:B59"/>
    <mergeCell ref="B48:B57"/>
    <mergeCell ref="G63:H63"/>
    <mergeCell ref="A1:B6"/>
    <mergeCell ref="C1:F3"/>
    <mergeCell ref="G1:I2"/>
    <mergeCell ref="G3:I4"/>
    <mergeCell ref="C4:F6"/>
    <mergeCell ref="G5:I6"/>
  </mergeCells>
  <pageMargins left="0.7" right="0.7" top="0.75" bottom="0.75" header="0.3" footer="0.3"/>
  <pageSetup scale="5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9"/>
  <sheetViews>
    <sheetView showGridLines="0" workbookViewId="0">
      <selection activeCell="F19" sqref="F19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43416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45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45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43412</v>
      </c>
      <c r="D10" s="17">
        <v>830054539</v>
      </c>
      <c r="E10" s="18" t="s">
        <v>468</v>
      </c>
      <c r="F10" s="19" t="s">
        <v>59</v>
      </c>
      <c r="G10" s="20">
        <v>12400</v>
      </c>
      <c r="H10" s="177"/>
      <c r="I10" s="230">
        <f>IF($K$14=1,G10+H10,G10*H10)</f>
        <v>12400</v>
      </c>
    </row>
    <row r="11" spans="1:12" s="1" customFormat="1" ht="15" thickBot="1" x14ac:dyDescent="0.4">
      <c r="A11" s="82">
        <v>2</v>
      </c>
      <c r="B11" s="340" t="s">
        <v>396</v>
      </c>
      <c r="C11" s="108">
        <v>43412</v>
      </c>
      <c r="D11" s="26">
        <v>830054539</v>
      </c>
      <c r="E11" s="27" t="s">
        <v>468</v>
      </c>
      <c r="F11" s="28" t="s">
        <v>59</v>
      </c>
      <c r="G11" s="29">
        <v>12400</v>
      </c>
      <c r="H11" s="178"/>
      <c r="I11" s="231">
        <f>IF($K$14=1,G11+H11,G11*H11)</f>
        <v>12400</v>
      </c>
    </row>
    <row r="12" spans="1:12" s="1" customFormat="1" ht="15" thickBot="1" x14ac:dyDescent="0.4">
      <c r="A12" s="82">
        <v>3</v>
      </c>
      <c r="B12" s="341"/>
      <c r="C12" s="108">
        <v>43412</v>
      </c>
      <c r="D12" s="26">
        <v>830054076</v>
      </c>
      <c r="E12" s="27" t="s">
        <v>75</v>
      </c>
      <c r="F12" s="28" t="s">
        <v>59</v>
      </c>
      <c r="G12" s="29">
        <v>9000</v>
      </c>
      <c r="H12" s="178"/>
      <c r="I12" s="231">
        <f t="shared" ref="I12:I22" si="0">IF($K$14=1,G12+H12,G12*H12)</f>
        <v>9000</v>
      </c>
    </row>
    <row r="13" spans="1:12" s="1" customFormat="1" ht="15" thickBot="1" x14ac:dyDescent="0.4">
      <c r="A13" s="82">
        <v>4</v>
      </c>
      <c r="B13" s="341"/>
      <c r="C13" s="108">
        <v>43412</v>
      </c>
      <c r="D13" s="26">
        <v>830054076</v>
      </c>
      <c r="E13" s="27" t="s">
        <v>75</v>
      </c>
      <c r="F13" s="28" t="s">
        <v>59</v>
      </c>
      <c r="G13" s="29">
        <v>9000</v>
      </c>
      <c r="H13" s="178"/>
      <c r="I13" s="231">
        <f t="shared" si="0"/>
        <v>9000</v>
      </c>
    </row>
    <row r="14" spans="1:12" s="1" customFormat="1" ht="15" thickBot="1" x14ac:dyDescent="0.4">
      <c r="A14" s="82">
        <v>5</v>
      </c>
      <c r="B14" s="341"/>
      <c r="C14" s="108">
        <v>43412</v>
      </c>
      <c r="D14" s="26">
        <v>830054076</v>
      </c>
      <c r="E14" s="27" t="s">
        <v>75</v>
      </c>
      <c r="F14" s="28" t="s">
        <v>59</v>
      </c>
      <c r="G14" s="29">
        <v>9700</v>
      </c>
      <c r="H14" s="178"/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43412</v>
      </c>
      <c r="D15" s="26">
        <v>901091579</v>
      </c>
      <c r="E15" s="27" t="s">
        <v>469</v>
      </c>
      <c r="F15" s="28" t="s">
        <v>59</v>
      </c>
      <c r="G15" s="29">
        <v>11700</v>
      </c>
      <c r="H15" s="178"/>
      <c r="I15" s="231">
        <f t="shared" si="0"/>
        <v>11700</v>
      </c>
    </row>
    <row r="16" spans="1:12" s="1" customFormat="1" ht="15" thickBot="1" x14ac:dyDescent="0.4">
      <c r="A16" s="82">
        <v>7</v>
      </c>
      <c r="B16" s="341"/>
      <c r="C16" s="108">
        <v>43412</v>
      </c>
      <c r="D16" s="26">
        <v>901091579</v>
      </c>
      <c r="E16" s="27" t="s">
        <v>469</v>
      </c>
      <c r="F16" s="28" t="s">
        <v>59</v>
      </c>
      <c r="G16" s="29">
        <v>11700</v>
      </c>
      <c r="H16" s="178"/>
      <c r="I16" s="231">
        <f t="shared" si="0"/>
        <v>11700</v>
      </c>
    </row>
    <row r="17" spans="1:37" s="1" customFormat="1" ht="15" thickBot="1" x14ac:dyDescent="0.4">
      <c r="A17" s="82">
        <v>8</v>
      </c>
      <c r="B17" s="341"/>
      <c r="C17" s="108">
        <v>43412</v>
      </c>
      <c r="D17" s="26">
        <v>311705</v>
      </c>
      <c r="E17" s="27" t="s">
        <v>470</v>
      </c>
      <c r="F17" s="28" t="s">
        <v>62</v>
      </c>
      <c r="G17" s="29">
        <v>60000</v>
      </c>
      <c r="H17" s="178"/>
      <c r="I17" s="231">
        <f t="shared" si="0"/>
        <v>60000</v>
      </c>
    </row>
    <row r="18" spans="1:37" s="1" customFormat="1" ht="15" thickBot="1" x14ac:dyDescent="0.4">
      <c r="A18" s="82">
        <v>9</v>
      </c>
      <c r="B18" s="341"/>
      <c r="C18" s="108">
        <v>43411</v>
      </c>
      <c r="D18" s="26">
        <v>900959347</v>
      </c>
      <c r="E18" s="27" t="s">
        <v>471</v>
      </c>
      <c r="F18" s="28" t="s">
        <v>62</v>
      </c>
      <c r="G18" s="29">
        <v>100000</v>
      </c>
      <c r="H18" s="178"/>
      <c r="I18" s="231">
        <f t="shared" si="0"/>
        <v>100000</v>
      </c>
    </row>
    <row r="19" spans="1:37" s="1" customFormat="1" ht="15" thickBot="1" x14ac:dyDescent="0.4">
      <c r="A19" s="82">
        <v>10</v>
      </c>
      <c r="B19" s="341"/>
      <c r="C19" s="108">
        <v>43412</v>
      </c>
      <c r="D19" s="26">
        <v>901021715</v>
      </c>
      <c r="E19" s="27" t="s">
        <v>472</v>
      </c>
      <c r="F19" s="28" t="s">
        <v>70</v>
      </c>
      <c r="G19" s="29">
        <v>32300</v>
      </c>
      <c r="H19" s="178"/>
      <c r="I19" s="231">
        <f t="shared" si="0"/>
        <v>32300</v>
      </c>
    </row>
    <row r="20" spans="1:37" s="1" customFormat="1" ht="15" thickBot="1" x14ac:dyDescent="0.4">
      <c r="A20" s="82">
        <v>11</v>
      </c>
      <c r="B20" s="341"/>
      <c r="C20" s="108">
        <v>43412</v>
      </c>
      <c r="D20" s="26">
        <v>20774113</v>
      </c>
      <c r="E20" s="27" t="s">
        <v>473</v>
      </c>
      <c r="F20" s="28" t="s">
        <v>70</v>
      </c>
      <c r="G20" s="29">
        <v>129000</v>
      </c>
      <c r="H20" s="178"/>
      <c r="I20" s="231">
        <f t="shared" si="0"/>
        <v>129000</v>
      </c>
    </row>
    <row r="21" spans="1:37" s="1" customFormat="1" ht="15" thickBot="1" x14ac:dyDescent="0.4">
      <c r="A21" s="82">
        <v>12</v>
      </c>
      <c r="B21" s="341"/>
      <c r="C21" s="108">
        <v>43412</v>
      </c>
      <c r="D21" s="26">
        <v>402929</v>
      </c>
      <c r="E21" s="27" t="s">
        <v>474</v>
      </c>
      <c r="F21" s="28" t="s">
        <v>475</v>
      </c>
      <c r="G21" s="29">
        <v>21800</v>
      </c>
      <c r="H21" s="178"/>
      <c r="I21" s="231">
        <f t="shared" si="0"/>
        <v>21800</v>
      </c>
    </row>
    <row r="22" spans="1:37" s="1" customFormat="1" ht="15" thickBot="1" x14ac:dyDescent="0.4">
      <c r="A22" s="82">
        <v>19</v>
      </c>
      <c r="B22" s="341"/>
      <c r="C22" s="108">
        <v>43416</v>
      </c>
      <c r="D22" s="26"/>
      <c r="E22" s="27" t="s">
        <v>466</v>
      </c>
      <c r="F22" s="28" t="s">
        <v>467</v>
      </c>
      <c r="G22" s="29">
        <v>11000</v>
      </c>
      <c r="H22" s="178"/>
      <c r="I22" s="231">
        <f t="shared" si="0"/>
        <v>11000</v>
      </c>
    </row>
    <row r="23" spans="1:37" s="2" customFormat="1" ht="15.75" customHeight="1" thickBot="1" x14ac:dyDescent="0.4">
      <c r="A23" s="327" t="s">
        <v>442</v>
      </c>
      <c r="B23" s="328"/>
      <c r="C23" s="329"/>
      <c r="D23" s="329"/>
      <c r="E23" s="330"/>
      <c r="F23" s="93" t="s">
        <v>24</v>
      </c>
      <c r="G23" s="94">
        <f>SUM(G10:G22)</f>
        <v>430000</v>
      </c>
      <c r="H23" s="94">
        <f>SUM(H10:H22)</f>
        <v>0</v>
      </c>
      <c r="I23" s="94">
        <f>SUM(I10:I22)</f>
        <v>430000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s="2" customFormat="1" ht="15" customHeight="1" x14ac:dyDescent="0.35">
      <c r="A24" s="300" t="s">
        <v>26</v>
      </c>
      <c r="B24" s="301"/>
      <c r="C24" s="301"/>
      <c r="D24" s="306" t="s">
        <v>476</v>
      </c>
      <c r="E24" s="307"/>
      <c r="F24" s="312"/>
      <c r="G24" s="315" t="s">
        <v>16</v>
      </c>
      <c r="H24" s="316"/>
      <c r="I24" s="35">
        <v>430000</v>
      </c>
      <c r="J24" s="1"/>
      <c r="K24" s="1"/>
      <c r="L24" s="1"/>
      <c r="M24" s="2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s="2" customFormat="1" ht="15" customHeight="1" x14ac:dyDescent="0.35">
      <c r="A25" s="302"/>
      <c r="B25" s="303"/>
      <c r="C25" s="303"/>
      <c r="D25" s="308"/>
      <c r="E25" s="309"/>
      <c r="F25" s="313"/>
      <c r="G25" s="317" t="s">
        <v>17</v>
      </c>
      <c r="H25" s="318"/>
      <c r="I25" s="36">
        <f>+I24-I23</f>
        <v>0</v>
      </c>
      <c r="J25" s="1"/>
      <c r="K25" s="1"/>
      <c r="L25" s="1"/>
      <c r="M25" s="2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s="1" customFormat="1" ht="15.75" customHeight="1" thickBot="1" x14ac:dyDescent="0.4">
      <c r="A26" s="304"/>
      <c r="B26" s="305"/>
      <c r="C26" s="305"/>
      <c r="D26" s="310"/>
      <c r="E26" s="311"/>
      <c r="F26" s="314"/>
      <c r="G26" s="289" t="s">
        <v>5</v>
      </c>
      <c r="H26" s="290"/>
      <c r="I26" s="37">
        <v>0</v>
      </c>
    </row>
    <row r="27" spans="1:37" s="1" customFormat="1" ht="15" thickBot="1" x14ac:dyDescent="0.4">
      <c r="A27" s="291" t="s">
        <v>25</v>
      </c>
      <c r="B27" s="292"/>
      <c r="C27" s="292"/>
      <c r="D27" s="293"/>
      <c r="E27" s="38"/>
      <c r="F27" s="38"/>
      <c r="G27" s="38"/>
      <c r="H27" s="38"/>
      <c r="I27" s="39"/>
    </row>
    <row r="28" spans="1:37" s="1" customFormat="1" ht="15" thickBot="1" x14ac:dyDescent="0.4">
      <c r="A28" s="40"/>
      <c r="B28" s="41" t="s">
        <v>6</v>
      </c>
      <c r="C28" s="42">
        <f>D44</f>
        <v>0</v>
      </c>
      <c r="D28" s="39"/>
      <c r="E28" s="43">
        <f>C28+C31+I23</f>
        <v>430000</v>
      </c>
      <c r="F28" s="43"/>
      <c r="G28" s="38"/>
      <c r="H28" s="38"/>
      <c r="I28" s="44"/>
    </row>
    <row r="29" spans="1:37" s="1" customFormat="1" ht="15" thickBot="1" x14ac:dyDescent="0.4">
      <c r="A29" s="40"/>
      <c r="B29" s="41"/>
      <c r="C29" s="45"/>
      <c r="D29" s="39"/>
      <c r="E29" s="43">
        <f>+E28-I24</f>
        <v>0</v>
      </c>
      <c r="F29" s="38"/>
      <c r="G29" s="38"/>
      <c r="H29" s="38"/>
      <c r="I29" s="39"/>
    </row>
    <row r="30" spans="1:37" s="1" customFormat="1" ht="15" thickBot="1" x14ac:dyDescent="0.4">
      <c r="A30" s="40"/>
      <c r="B30" s="46"/>
      <c r="C30" s="45"/>
      <c r="D30" s="39"/>
      <c r="E30" s="43"/>
      <c r="F30" s="38"/>
      <c r="G30" s="38"/>
      <c r="H30" s="38"/>
      <c r="I30" s="39"/>
    </row>
    <row r="31" spans="1:37" s="1" customFormat="1" ht="15" thickBot="1" x14ac:dyDescent="0.4">
      <c r="A31" s="40"/>
      <c r="B31" s="47" t="s">
        <v>7</v>
      </c>
      <c r="C31" s="45">
        <f>SUM(C29:C30)</f>
        <v>0</v>
      </c>
      <c r="D31" s="39"/>
      <c r="E31" s="48"/>
      <c r="F31" s="48"/>
      <c r="G31" s="48"/>
      <c r="H31" s="48"/>
      <c r="I31" s="49"/>
    </row>
    <row r="32" spans="1:37" s="1" customFormat="1" ht="15" thickBot="1" x14ac:dyDescent="0.4">
      <c r="A32" s="40"/>
      <c r="B32" s="50"/>
      <c r="C32" s="51"/>
      <c r="D32" s="39"/>
      <c r="E32" s="48"/>
      <c r="F32" s="48"/>
      <c r="G32" s="48"/>
      <c r="H32" s="48"/>
      <c r="I32" s="49"/>
    </row>
    <row r="33" spans="1:37" s="1" customFormat="1" ht="15" thickBot="1" x14ac:dyDescent="0.4">
      <c r="A33" s="40"/>
      <c r="B33" s="52"/>
      <c r="C33" s="53" t="s">
        <v>11</v>
      </c>
      <c r="D33" s="54" t="s">
        <v>4</v>
      </c>
      <c r="E33" s="38"/>
      <c r="F33" s="55"/>
      <c r="G33" s="38"/>
      <c r="H33" s="38"/>
      <c r="I33" s="39"/>
    </row>
    <row r="34" spans="1:37" s="1" customFormat="1" ht="14.5" x14ac:dyDescent="0.35">
      <c r="A34" s="40"/>
      <c r="B34" s="56"/>
      <c r="C34" s="57">
        <v>50000</v>
      </c>
      <c r="D34" s="58">
        <f t="shared" ref="D34:D43" si="1">+C34*B34</f>
        <v>0</v>
      </c>
      <c r="E34" s="244" t="s">
        <v>29</v>
      </c>
      <c r="F34" s="60" t="s">
        <v>27</v>
      </c>
      <c r="G34" s="294" t="s">
        <v>28</v>
      </c>
      <c r="H34" s="294"/>
      <c r="I34" s="295"/>
    </row>
    <row r="35" spans="1:37" s="5" customFormat="1" ht="15" customHeight="1" x14ac:dyDescent="0.35">
      <c r="A35" s="40"/>
      <c r="B35" s="62"/>
      <c r="C35" s="63">
        <v>20000</v>
      </c>
      <c r="D35" s="58">
        <f t="shared" si="1"/>
        <v>0</v>
      </c>
      <c r="E35" s="242" t="s">
        <v>19</v>
      </c>
      <c r="F35" s="242" t="s">
        <v>20</v>
      </c>
      <c r="G35" s="296" t="s">
        <v>21</v>
      </c>
      <c r="H35" s="296"/>
      <c r="I35" s="29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s="5" customFormat="1" ht="15" customHeight="1" x14ac:dyDescent="0.35">
      <c r="A36" s="40"/>
      <c r="B36" s="62"/>
      <c r="C36" s="63">
        <v>10000</v>
      </c>
      <c r="D36" s="58">
        <f t="shared" si="1"/>
        <v>0</v>
      </c>
      <c r="E36" s="243" t="s">
        <v>86</v>
      </c>
      <c r="F36" s="243" t="s">
        <v>87</v>
      </c>
      <c r="G36" s="298" t="s">
        <v>81</v>
      </c>
      <c r="H36" s="298"/>
      <c r="I36" s="29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s="5" customFormat="1" ht="15" customHeight="1" x14ac:dyDescent="0.35">
      <c r="A37" s="40"/>
      <c r="B37" s="62"/>
      <c r="C37" s="63">
        <v>5000</v>
      </c>
      <c r="D37" s="58">
        <f t="shared" si="1"/>
        <v>0</v>
      </c>
      <c r="E37" s="38" t="s">
        <v>0</v>
      </c>
      <c r="F37" s="38"/>
      <c r="G37" s="38"/>
      <c r="H37" s="38"/>
      <c r="I37" s="3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s="5" customFormat="1" ht="15" customHeight="1" x14ac:dyDescent="0.35">
      <c r="A38" s="40"/>
      <c r="B38" s="62"/>
      <c r="C38" s="63">
        <v>2000</v>
      </c>
      <c r="D38" s="58">
        <f t="shared" si="1"/>
        <v>0</v>
      </c>
      <c r="E38" s="38"/>
      <c r="F38" s="38" t="s">
        <v>8</v>
      </c>
      <c r="G38" s="38"/>
      <c r="H38" s="38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s="5" customFormat="1" ht="15" customHeight="1" x14ac:dyDescent="0.35">
      <c r="A39" s="40"/>
      <c r="B39" s="62"/>
      <c r="C39" s="63">
        <v>1000</v>
      </c>
      <c r="D39" s="58">
        <f t="shared" si="1"/>
        <v>0</v>
      </c>
      <c r="E39" s="38"/>
      <c r="F39" s="38"/>
      <c r="G39" s="38"/>
      <c r="H39" s="38"/>
      <c r="I39" s="3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s="1" customFormat="1" ht="15" customHeight="1" x14ac:dyDescent="0.35">
      <c r="A40" s="40"/>
      <c r="B40" s="62"/>
      <c r="C40" s="63">
        <v>500</v>
      </c>
      <c r="D40" s="58">
        <f t="shared" si="1"/>
        <v>0</v>
      </c>
      <c r="E40" s="38"/>
      <c r="F40" s="38"/>
      <c r="G40" s="38"/>
      <c r="H40" s="38"/>
      <c r="I40" s="39"/>
    </row>
    <row r="41" spans="1:37" s="1" customFormat="1" ht="15" customHeight="1" x14ac:dyDescent="0.35">
      <c r="A41" s="40"/>
      <c r="B41" s="62"/>
      <c r="C41" s="63">
        <v>200</v>
      </c>
      <c r="D41" s="58">
        <f t="shared" si="1"/>
        <v>0</v>
      </c>
      <c r="E41" s="38"/>
      <c r="F41" s="38"/>
      <c r="G41" s="38"/>
      <c r="H41" s="38"/>
      <c r="I41" s="39"/>
    </row>
    <row r="42" spans="1:37" s="1" customFormat="1" ht="15" customHeight="1" x14ac:dyDescent="0.35">
      <c r="A42" s="40"/>
      <c r="B42" s="62"/>
      <c r="C42" s="63">
        <v>100</v>
      </c>
      <c r="D42" s="58">
        <f>+C42*B42</f>
        <v>0</v>
      </c>
      <c r="E42" s="38"/>
      <c r="F42" s="38"/>
      <c r="G42" s="38"/>
      <c r="H42" s="38"/>
      <c r="I42" s="39"/>
    </row>
    <row r="43" spans="1:37" s="5" customFormat="1" ht="15" customHeight="1" thickBot="1" x14ac:dyDescent="0.4">
      <c r="A43" s="40"/>
      <c r="B43" s="68"/>
      <c r="C43" s="69">
        <v>50</v>
      </c>
      <c r="D43" s="58">
        <f t="shared" si="1"/>
        <v>0</v>
      </c>
      <c r="E43" s="38"/>
      <c r="F43" s="38"/>
      <c r="G43" s="38"/>
      <c r="H43" s="38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s="1" customFormat="1" ht="15" customHeight="1" thickBot="1" x14ac:dyDescent="0.4">
      <c r="A44" s="40"/>
      <c r="B44" s="244"/>
      <c r="C44" s="70"/>
      <c r="D44" s="71">
        <f>SUM(D34:D43)</f>
        <v>0</v>
      </c>
      <c r="E44" s="38"/>
      <c r="F44" s="38"/>
      <c r="G44" s="38"/>
      <c r="H44" s="38"/>
      <c r="I44" s="39"/>
    </row>
    <row r="45" spans="1:37" s="5" customFormat="1" ht="15" customHeight="1" thickBot="1" x14ac:dyDescent="0.4">
      <c r="A45" s="72"/>
      <c r="B45" s="73"/>
      <c r="C45" s="74"/>
      <c r="D45" s="75"/>
      <c r="E45" s="76"/>
      <c r="F45" s="76"/>
      <c r="G45" s="76"/>
      <c r="H45" s="76"/>
      <c r="I45" s="7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s="5" customFormat="1" ht="22.5" customHeight="1" x14ac:dyDescent="0.35">
      <c r="A46" s="1"/>
      <c r="B46"/>
      <c r="C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s="3" customFormat="1" ht="22.5" customHeight="1" x14ac:dyDescent="0.35">
      <c r="A47"/>
      <c r="B47"/>
      <c r="C47" s="6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s="3" customFormat="1" ht="22.5" customHeight="1" x14ac:dyDescent="0.35">
      <c r="A48"/>
      <c r="B48"/>
      <c r="C48" s="6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3" customFormat="1" ht="22.5" customHeight="1" x14ac:dyDescent="0.35">
      <c r="A49"/>
      <c r="B49"/>
      <c r="C49" s="6"/>
      <c r="D49" s="7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</sheetData>
  <autoFilter ref="C9:J31"/>
  <mergeCells count="21">
    <mergeCell ref="A27:D27"/>
    <mergeCell ref="G34:I34"/>
    <mergeCell ref="G35:I35"/>
    <mergeCell ref="G36:I36"/>
    <mergeCell ref="A23:E23"/>
    <mergeCell ref="A24:C26"/>
    <mergeCell ref="D24:E26"/>
    <mergeCell ref="F24:F26"/>
    <mergeCell ref="G24:H24"/>
    <mergeCell ref="G25:H25"/>
    <mergeCell ref="G26:H26"/>
    <mergeCell ref="A7:B7"/>
    <mergeCell ref="C7:I7"/>
    <mergeCell ref="A8:I8"/>
    <mergeCell ref="B11:B22"/>
    <mergeCell ref="A1:B6"/>
    <mergeCell ref="C1:F3"/>
    <mergeCell ref="G1:I2"/>
    <mergeCell ref="G3:I4"/>
    <mergeCell ref="C4:F6"/>
    <mergeCell ref="G5:I6"/>
  </mergeCells>
  <pageMargins left="0.7" right="0.7" top="0.75" bottom="0.75" header="0.3" footer="0.3"/>
  <pageSetup scale="5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23"/>
  <sheetViews>
    <sheetView showGridLines="0" topLeftCell="A43" workbookViewId="0">
      <selection activeCell="D116" sqref="D116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43423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49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49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43417</v>
      </c>
      <c r="D10" s="12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177">
        <v>0</v>
      </c>
      <c r="I10" s="230">
        <f>IF($K$14=1,G10+H10,G10*H10)</f>
        <v>9700</v>
      </c>
    </row>
    <row r="11" spans="1:12" s="1" customFormat="1" ht="15" thickBot="1" x14ac:dyDescent="0.4">
      <c r="A11" s="82">
        <v>2</v>
      </c>
      <c r="B11" s="340" t="s">
        <v>396</v>
      </c>
      <c r="C11" s="108">
        <v>43374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231">
        <f>IF($K$14=1,G11+H11,G11*H11)</f>
        <v>9700</v>
      </c>
    </row>
    <row r="12" spans="1:12" s="1" customFormat="1" ht="15" thickBot="1" x14ac:dyDescent="0.4">
      <c r="A12" s="82">
        <v>3</v>
      </c>
      <c r="B12" s="341"/>
      <c r="C12" s="108">
        <v>43377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231">
        <f t="shared" ref="I12:I85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43372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231">
        <f t="shared" si="0"/>
        <v>9700</v>
      </c>
    </row>
    <row r="14" spans="1:12" s="1" customFormat="1" ht="15" thickBot="1" x14ac:dyDescent="0.4">
      <c r="A14" s="82">
        <v>5</v>
      </c>
      <c r="B14" s="341"/>
      <c r="C14" s="108">
        <v>43370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43368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2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43382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231">
        <f t="shared" si="0"/>
        <v>9700</v>
      </c>
    </row>
    <row r="17" spans="1:9" s="1" customFormat="1" ht="15" thickBot="1" x14ac:dyDescent="0.4">
      <c r="A17" s="82">
        <v>8</v>
      </c>
      <c r="B17" s="341"/>
      <c r="C17" s="108">
        <v>43374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231">
        <f t="shared" si="0"/>
        <v>9700</v>
      </c>
    </row>
    <row r="18" spans="1:9" s="1" customFormat="1" ht="15" thickBot="1" x14ac:dyDescent="0.4">
      <c r="A18" s="82">
        <v>9</v>
      </c>
      <c r="B18" s="341"/>
      <c r="C18" s="108">
        <v>43376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178">
        <v>0</v>
      </c>
      <c r="I18" s="231">
        <f t="shared" si="0"/>
        <v>9700</v>
      </c>
    </row>
    <row r="19" spans="1:9" s="1" customFormat="1" ht="15" thickBot="1" x14ac:dyDescent="0.4">
      <c r="A19" s="82">
        <v>10</v>
      </c>
      <c r="B19" s="341"/>
      <c r="C19" s="108">
        <v>43371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231">
        <f t="shared" si="0"/>
        <v>9700</v>
      </c>
    </row>
    <row r="20" spans="1:9" s="1" customFormat="1" ht="15" thickBot="1" x14ac:dyDescent="0.4">
      <c r="A20" s="82">
        <v>11</v>
      </c>
      <c r="B20" s="341"/>
      <c r="C20" s="108">
        <v>43374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2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43379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178">
        <v>0</v>
      </c>
      <c r="I21" s="231">
        <f t="shared" si="0"/>
        <v>9700</v>
      </c>
    </row>
    <row r="22" spans="1:9" s="1" customFormat="1" ht="15" thickBot="1" x14ac:dyDescent="0.4">
      <c r="A22" s="82">
        <v>13</v>
      </c>
      <c r="B22" s="341"/>
      <c r="C22" s="108">
        <v>43373</v>
      </c>
      <c r="D22" s="26">
        <v>830054076</v>
      </c>
      <c r="E22" s="27" t="str">
        <f>VLOOKUP(D22,[1]TERCEROS!$A$2:$C$4000,3,FALSE)</f>
        <v>FIDEICOMISOS SOCIEDAD FIDUCIARIA</v>
      </c>
      <c r="F22" s="28" t="s">
        <v>59</v>
      </c>
      <c r="G22" s="29">
        <v>9700</v>
      </c>
      <c r="H22" s="178">
        <v>0</v>
      </c>
      <c r="I22" s="231">
        <f t="shared" si="0"/>
        <v>9700</v>
      </c>
    </row>
    <row r="23" spans="1:9" s="1" customFormat="1" ht="15" thickBot="1" x14ac:dyDescent="0.4">
      <c r="A23" s="82">
        <v>14</v>
      </c>
      <c r="B23" s="341"/>
      <c r="C23" s="108">
        <v>43372</v>
      </c>
      <c r="D23" s="26">
        <v>830054076</v>
      </c>
      <c r="E23" s="27" t="str">
        <f>VLOOKUP(D23,[1]TERCEROS!$A$2:$C$4000,3,FALSE)</f>
        <v>FIDEICOMISOS SOCIEDAD FIDUCIARIA</v>
      </c>
      <c r="F23" s="28" t="s">
        <v>59</v>
      </c>
      <c r="G23" s="29">
        <v>9700</v>
      </c>
      <c r="H23" s="178">
        <v>0</v>
      </c>
      <c r="I23" s="231">
        <f t="shared" si="0"/>
        <v>9700</v>
      </c>
    </row>
    <row r="24" spans="1:9" s="1" customFormat="1" ht="15" thickBot="1" x14ac:dyDescent="0.4">
      <c r="A24" s="82">
        <v>15</v>
      </c>
      <c r="B24" s="341"/>
      <c r="C24" s="108">
        <v>43378</v>
      </c>
      <c r="D24" s="26">
        <v>830054076</v>
      </c>
      <c r="E24" s="27" t="str">
        <f>VLOOKUP(D24,[1]TERCEROS!$A$2:$C$4000,3,FALSE)</f>
        <v>FIDEICOMISOS SOCIEDAD FIDUCIARIA</v>
      </c>
      <c r="F24" s="28" t="s">
        <v>59</v>
      </c>
      <c r="G24" s="29">
        <v>9700</v>
      </c>
      <c r="H24" s="178">
        <v>0</v>
      </c>
      <c r="I24" s="231">
        <f t="shared" si="0"/>
        <v>9700</v>
      </c>
    </row>
    <row r="25" spans="1:9" s="1" customFormat="1" ht="15" thickBot="1" x14ac:dyDescent="0.4">
      <c r="A25" s="82">
        <v>16</v>
      </c>
      <c r="B25" s="341"/>
      <c r="C25" s="108">
        <v>43381</v>
      </c>
      <c r="D25" s="26">
        <v>830054076</v>
      </c>
      <c r="E25" s="27" t="str">
        <f>VLOOKUP(D25,[1]TERCEROS!$A$2:$C$4000,3,FALSE)</f>
        <v>FIDEICOMISOS SOCIEDAD FIDUCIARIA</v>
      </c>
      <c r="F25" s="28" t="s">
        <v>59</v>
      </c>
      <c r="G25" s="29">
        <v>9700</v>
      </c>
      <c r="H25" s="178">
        <v>0</v>
      </c>
      <c r="I25" s="231">
        <f t="shared" si="0"/>
        <v>9700</v>
      </c>
    </row>
    <row r="26" spans="1:9" s="1" customFormat="1" ht="15" thickBot="1" x14ac:dyDescent="0.4">
      <c r="A26" s="82">
        <v>17</v>
      </c>
      <c r="B26" s="341"/>
      <c r="C26" s="108">
        <v>43380</v>
      </c>
      <c r="D26" s="26">
        <v>830054076</v>
      </c>
      <c r="E26" s="27" t="str">
        <f>VLOOKUP(D26,[1]TERCEROS!$A$2:$C$4000,3,FALSE)</f>
        <v>FIDEICOMISOS SOCIEDAD FIDUCIARIA</v>
      </c>
      <c r="F26" s="28" t="s">
        <v>59</v>
      </c>
      <c r="G26" s="29">
        <v>9700</v>
      </c>
      <c r="H26" s="178">
        <v>0</v>
      </c>
      <c r="I26" s="231">
        <f t="shared" si="0"/>
        <v>9700</v>
      </c>
    </row>
    <row r="27" spans="1:9" s="1" customFormat="1" ht="15" thickBot="1" x14ac:dyDescent="0.4">
      <c r="A27" s="82">
        <v>18</v>
      </c>
      <c r="B27" s="341"/>
      <c r="C27" s="108">
        <v>43383</v>
      </c>
      <c r="D27" s="26">
        <v>830054076</v>
      </c>
      <c r="E27" s="27" t="str">
        <f>VLOOKUP(D27,[1]TERCEROS!$A$2:$C$4000,3,FALSE)</f>
        <v>FIDEICOMISOS SOCIEDAD FIDUCIARIA</v>
      </c>
      <c r="F27" s="28" t="s">
        <v>59</v>
      </c>
      <c r="G27" s="29">
        <v>9700</v>
      </c>
      <c r="H27" s="178">
        <v>0</v>
      </c>
      <c r="I27" s="231">
        <f t="shared" si="0"/>
        <v>9700</v>
      </c>
    </row>
    <row r="28" spans="1:9" s="1" customFormat="1" ht="15" thickBot="1" x14ac:dyDescent="0.4">
      <c r="A28" s="82">
        <v>19</v>
      </c>
      <c r="B28" s="341"/>
      <c r="C28" s="108">
        <v>43379</v>
      </c>
      <c r="D28" s="26">
        <v>830054076</v>
      </c>
      <c r="E28" s="27" t="str">
        <f>VLOOKUP(D28,[1]TERCEROS!$A$2:$C$4000,3,FALSE)</f>
        <v>FIDEICOMISOS SOCIEDAD FIDUCIARIA</v>
      </c>
      <c r="F28" s="28" t="s">
        <v>59</v>
      </c>
      <c r="G28" s="29">
        <v>9700</v>
      </c>
      <c r="H28" s="178">
        <v>0</v>
      </c>
      <c r="I28" s="231">
        <f t="shared" si="0"/>
        <v>9700</v>
      </c>
    </row>
    <row r="29" spans="1:9" s="1" customFormat="1" ht="15" thickBot="1" x14ac:dyDescent="0.4">
      <c r="A29" s="82">
        <v>20</v>
      </c>
      <c r="B29" s="341"/>
      <c r="C29" s="108">
        <v>43385</v>
      </c>
      <c r="D29" s="26">
        <v>830054076</v>
      </c>
      <c r="E29" s="27" t="str">
        <f>VLOOKUP(D29,[1]TERCEROS!$A$2:$C$4000,3,FALSE)</f>
        <v>FIDEICOMISOS SOCIEDAD FIDUCIARIA</v>
      </c>
      <c r="F29" s="28" t="s">
        <v>59</v>
      </c>
      <c r="G29" s="29">
        <v>9700</v>
      </c>
      <c r="H29" s="178">
        <v>0</v>
      </c>
      <c r="I29" s="231">
        <f t="shared" si="0"/>
        <v>9700</v>
      </c>
    </row>
    <row r="30" spans="1:9" s="1" customFormat="1" ht="15" thickBot="1" x14ac:dyDescent="0.4">
      <c r="A30" s="82">
        <v>21</v>
      </c>
      <c r="B30" s="341"/>
      <c r="C30" s="108">
        <v>43397</v>
      </c>
      <c r="D30" s="26">
        <v>830054076</v>
      </c>
      <c r="E30" s="27" t="str">
        <f>VLOOKUP(D30,[1]TERCEROS!$A$2:$C$4000,3,FALSE)</f>
        <v>FIDEICOMISOS SOCIEDAD FIDUCIARIA</v>
      </c>
      <c r="F30" s="28" t="s">
        <v>59</v>
      </c>
      <c r="G30" s="29">
        <v>9700</v>
      </c>
      <c r="H30" s="178">
        <v>0</v>
      </c>
      <c r="I30" s="231">
        <f t="shared" si="0"/>
        <v>9700</v>
      </c>
    </row>
    <row r="31" spans="1:9" s="1" customFormat="1" ht="15" thickBot="1" x14ac:dyDescent="0.4">
      <c r="A31" s="82">
        <v>22</v>
      </c>
      <c r="B31" s="341"/>
      <c r="C31" s="108">
        <v>43393</v>
      </c>
      <c r="D31" s="26">
        <v>830054076</v>
      </c>
      <c r="E31" s="27" t="str">
        <f>VLOOKUP(D31,[1]TERCEROS!$A$2:$C$4000,3,FALSE)</f>
        <v>FIDEICOMISOS SOCIEDAD FIDUCIARIA</v>
      </c>
      <c r="F31" s="28" t="s">
        <v>59</v>
      </c>
      <c r="G31" s="29">
        <v>9700</v>
      </c>
      <c r="H31" s="178">
        <v>0</v>
      </c>
      <c r="I31" s="231">
        <f t="shared" si="0"/>
        <v>9700</v>
      </c>
    </row>
    <row r="32" spans="1:9" s="1" customFormat="1" ht="15" thickBot="1" x14ac:dyDescent="0.4">
      <c r="A32" s="82">
        <v>23</v>
      </c>
      <c r="B32" s="341"/>
      <c r="C32" s="108">
        <v>43384</v>
      </c>
      <c r="D32" s="26">
        <v>830054076</v>
      </c>
      <c r="E32" s="27" t="str">
        <f>VLOOKUP(D32,[1]TERCEROS!$A$2:$C$4000,3,FALSE)</f>
        <v>FIDEICOMISOS SOCIEDAD FIDUCIARIA</v>
      </c>
      <c r="F32" s="28" t="s">
        <v>59</v>
      </c>
      <c r="G32" s="29">
        <v>9700</v>
      </c>
      <c r="H32" s="178">
        <v>0</v>
      </c>
      <c r="I32" s="231">
        <f t="shared" si="0"/>
        <v>9700</v>
      </c>
    </row>
    <row r="33" spans="1:9" s="1" customFormat="1" ht="15" thickBot="1" x14ac:dyDescent="0.4">
      <c r="A33" s="82">
        <v>24</v>
      </c>
      <c r="B33" s="341"/>
      <c r="C33" s="108">
        <v>43391</v>
      </c>
      <c r="D33" s="26">
        <v>830054076</v>
      </c>
      <c r="E33" s="27" t="str">
        <f>VLOOKUP(D33,[1]TERCEROS!$A$2:$C$4000,3,FALSE)</f>
        <v>FIDEICOMISOS SOCIEDAD FIDUCIARIA</v>
      </c>
      <c r="F33" s="28" t="s">
        <v>59</v>
      </c>
      <c r="G33" s="29">
        <v>9700</v>
      </c>
      <c r="H33" s="178">
        <v>0</v>
      </c>
      <c r="I33" s="231">
        <f t="shared" si="0"/>
        <v>9700</v>
      </c>
    </row>
    <row r="34" spans="1:9" s="1" customFormat="1" ht="15" thickBot="1" x14ac:dyDescent="0.4">
      <c r="A34" s="82">
        <v>25</v>
      </c>
      <c r="B34" s="341"/>
      <c r="C34" s="108">
        <v>43389</v>
      </c>
      <c r="D34" s="26">
        <v>830054076</v>
      </c>
      <c r="E34" s="27" t="str">
        <f>VLOOKUP(D34,[1]TERCEROS!$A$2:$C$4000,3,FALSE)</f>
        <v>FIDEICOMISOS SOCIEDAD FIDUCIARIA</v>
      </c>
      <c r="F34" s="28" t="s">
        <v>59</v>
      </c>
      <c r="G34" s="29">
        <v>9700</v>
      </c>
      <c r="H34" s="178">
        <v>0</v>
      </c>
      <c r="I34" s="231">
        <f t="shared" si="0"/>
        <v>9700</v>
      </c>
    </row>
    <row r="35" spans="1:9" s="1" customFormat="1" ht="15" thickBot="1" x14ac:dyDescent="0.4">
      <c r="A35" s="82">
        <v>26</v>
      </c>
      <c r="B35" s="341"/>
      <c r="C35" s="108">
        <v>43393</v>
      </c>
      <c r="D35" s="26">
        <v>830054076</v>
      </c>
      <c r="E35" s="27" t="str">
        <f>VLOOKUP(D35,[1]TERCEROS!$A$2:$C$4000,3,FALSE)</f>
        <v>FIDEICOMISOS SOCIEDAD FIDUCIARIA</v>
      </c>
      <c r="F35" s="28" t="s">
        <v>59</v>
      </c>
      <c r="G35" s="29">
        <v>9700</v>
      </c>
      <c r="H35" s="178">
        <v>0</v>
      </c>
      <c r="I35" s="231">
        <f t="shared" si="0"/>
        <v>9700</v>
      </c>
    </row>
    <row r="36" spans="1:9" s="1" customFormat="1" ht="15" thickBot="1" x14ac:dyDescent="0.4">
      <c r="A36" s="82">
        <v>27</v>
      </c>
      <c r="B36" s="341"/>
      <c r="C36" s="108">
        <v>43400</v>
      </c>
      <c r="D36" s="26">
        <v>830054076</v>
      </c>
      <c r="E36" s="27" t="str">
        <f>VLOOKUP(D36,[1]TERCEROS!$A$2:$C$4000,3,FALSE)</f>
        <v>FIDEICOMISOS SOCIEDAD FIDUCIARIA</v>
      </c>
      <c r="F36" s="28" t="s">
        <v>59</v>
      </c>
      <c r="G36" s="29">
        <v>9700</v>
      </c>
      <c r="H36" s="178">
        <v>0</v>
      </c>
      <c r="I36" s="231">
        <f t="shared" si="0"/>
        <v>9700</v>
      </c>
    </row>
    <row r="37" spans="1:9" s="1" customFormat="1" ht="15" thickBot="1" x14ac:dyDescent="0.4">
      <c r="A37" s="82">
        <v>28</v>
      </c>
      <c r="B37" s="341"/>
      <c r="C37" s="108">
        <v>43400</v>
      </c>
      <c r="D37" s="26">
        <v>830054076</v>
      </c>
      <c r="E37" s="27" t="str">
        <f>VLOOKUP(D37,[1]TERCEROS!$A$2:$C$4000,3,FALSE)</f>
        <v>FIDEICOMISOS SOCIEDAD FIDUCIARIA</v>
      </c>
      <c r="F37" s="28" t="s">
        <v>59</v>
      </c>
      <c r="G37" s="29">
        <v>9700</v>
      </c>
      <c r="H37" s="178">
        <v>0</v>
      </c>
      <c r="I37" s="231">
        <f t="shared" si="0"/>
        <v>9700</v>
      </c>
    </row>
    <row r="38" spans="1:9" s="1" customFormat="1" ht="15" thickBot="1" x14ac:dyDescent="0.4">
      <c r="A38" s="82">
        <v>29</v>
      </c>
      <c r="B38" s="341"/>
      <c r="C38" s="108">
        <v>43404</v>
      </c>
      <c r="D38" s="26">
        <v>830054076</v>
      </c>
      <c r="E38" s="27" t="str">
        <f>VLOOKUP(D38,[1]TERCEROS!$A$2:$C$4000,3,FALSE)</f>
        <v>FIDEICOMISOS SOCIEDAD FIDUCIARIA</v>
      </c>
      <c r="F38" s="28" t="s">
        <v>59</v>
      </c>
      <c r="G38" s="29">
        <v>9700</v>
      </c>
      <c r="H38" s="178">
        <v>0</v>
      </c>
      <c r="I38" s="231">
        <f t="shared" si="0"/>
        <v>9700</v>
      </c>
    </row>
    <row r="39" spans="1:9" s="1" customFormat="1" ht="15" thickBot="1" x14ac:dyDescent="0.4">
      <c r="A39" s="82">
        <v>30</v>
      </c>
      <c r="B39" s="341"/>
      <c r="C39" s="108">
        <v>43400</v>
      </c>
      <c r="D39" s="26">
        <v>830054076</v>
      </c>
      <c r="E39" s="27" t="str">
        <f>VLOOKUP(D39,[1]TERCEROS!$A$2:$C$4000,3,FALSE)</f>
        <v>FIDEICOMISOS SOCIEDAD FIDUCIARIA</v>
      </c>
      <c r="F39" s="28" t="s">
        <v>59</v>
      </c>
      <c r="G39" s="29">
        <v>9700</v>
      </c>
      <c r="H39" s="178">
        <v>0</v>
      </c>
      <c r="I39" s="231">
        <f t="shared" si="0"/>
        <v>9700</v>
      </c>
    </row>
    <row r="40" spans="1:9" s="1" customFormat="1" ht="15" thickBot="1" x14ac:dyDescent="0.4">
      <c r="A40" s="82">
        <v>31</v>
      </c>
      <c r="B40" s="341"/>
      <c r="C40" s="108">
        <v>43418</v>
      </c>
      <c r="D40" s="26">
        <v>830054076</v>
      </c>
      <c r="E40" s="27" t="str">
        <f>VLOOKUP(D40,[1]TERCEROS!$A$2:$C$4000,3,FALSE)</f>
        <v>FIDEICOMISOS SOCIEDAD FIDUCIARIA</v>
      </c>
      <c r="F40" s="28" t="s">
        <v>59</v>
      </c>
      <c r="G40" s="29">
        <v>9700</v>
      </c>
      <c r="H40" s="178">
        <v>0</v>
      </c>
      <c r="I40" s="231">
        <f t="shared" si="0"/>
        <v>9700</v>
      </c>
    </row>
    <row r="41" spans="1:9" s="1" customFormat="1" ht="15" thickBot="1" x14ac:dyDescent="0.4">
      <c r="A41" s="82">
        <v>32</v>
      </c>
      <c r="B41" s="341"/>
      <c r="C41" s="108">
        <v>43420</v>
      </c>
      <c r="D41" s="26">
        <v>830054076</v>
      </c>
      <c r="E41" s="27" t="str">
        <f>VLOOKUP(D41,[1]TERCEROS!$A$2:$C$4000,3,FALSE)</f>
        <v>FIDEICOMISOS SOCIEDAD FIDUCIARIA</v>
      </c>
      <c r="F41" s="28" t="s">
        <v>59</v>
      </c>
      <c r="G41" s="29">
        <v>9700</v>
      </c>
      <c r="H41" s="178">
        <v>0</v>
      </c>
      <c r="I41" s="231">
        <f t="shared" si="0"/>
        <v>9700</v>
      </c>
    </row>
    <row r="42" spans="1:9" s="1" customFormat="1" ht="15" thickBot="1" x14ac:dyDescent="0.4">
      <c r="A42" s="82">
        <v>33</v>
      </c>
      <c r="B42" s="341"/>
      <c r="C42" s="108">
        <v>43418</v>
      </c>
      <c r="D42" s="26">
        <v>830054076</v>
      </c>
      <c r="E42" s="27" t="str">
        <f>VLOOKUP(D42,[1]TERCEROS!$A$2:$C$4000,3,FALSE)</f>
        <v>FIDEICOMISOS SOCIEDAD FIDUCIARIA</v>
      </c>
      <c r="F42" s="28" t="s">
        <v>59</v>
      </c>
      <c r="G42" s="29">
        <v>9700</v>
      </c>
      <c r="H42" s="178">
        <v>0</v>
      </c>
      <c r="I42" s="231">
        <f t="shared" si="0"/>
        <v>9700</v>
      </c>
    </row>
    <row r="43" spans="1:9" s="1" customFormat="1" ht="15" thickBot="1" x14ac:dyDescent="0.4">
      <c r="A43" s="82">
        <v>34</v>
      </c>
      <c r="B43" s="341"/>
      <c r="C43" s="108">
        <v>43418</v>
      </c>
      <c r="D43" s="26">
        <v>830054076</v>
      </c>
      <c r="E43" s="27" t="str">
        <f>VLOOKUP(D43,[1]TERCEROS!$A$2:$C$4000,3,FALSE)</f>
        <v>FIDEICOMISOS SOCIEDAD FIDUCIARIA</v>
      </c>
      <c r="F43" s="28" t="s">
        <v>59</v>
      </c>
      <c r="G43" s="29">
        <v>9700</v>
      </c>
      <c r="H43" s="178">
        <v>0</v>
      </c>
      <c r="I43" s="231">
        <f t="shared" si="0"/>
        <v>9700</v>
      </c>
    </row>
    <row r="44" spans="1:9" s="1" customFormat="1" ht="15" thickBot="1" x14ac:dyDescent="0.4">
      <c r="A44" s="82">
        <v>35</v>
      </c>
      <c r="B44" s="341"/>
      <c r="C44" s="108">
        <v>43418</v>
      </c>
      <c r="D44" s="26">
        <v>830054076</v>
      </c>
      <c r="E44" s="27" t="str">
        <f>VLOOKUP(D44,[1]TERCEROS!$A$2:$C$4000,3,FALSE)</f>
        <v>FIDEICOMISOS SOCIEDAD FIDUCIARIA</v>
      </c>
      <c r="F44" s="28" t="s">
        <v>59</v>
      </c>
      <c r="G44" s="29">
        <v>9700</v>
      </c>
      <c r="H44" s="178">
        <v>0</v>
      </c>
      <c r="I44" s="231">
        <f t="shared" si="0"/>
        <v>9700</v>
      </c>
    </row>
    <row r="45" spans="1:9" s="1" customFormat="1" ht="15" thickBot="1" x14ac:dyDescent="0.4">
      <c r="A45" s="82">
        <v>36</v>
      </c>
      <c r="B45" s="341"/>
      <c r="C45" s="108">
        <v>43417</v>
      </c>
      <c r="D45" s="26">
        <v>830054076</v>
      </c>
      <c r="E45" s="27" t="str">
        <f>VLOOKUP(D45,[1]TERCEROS!$A$2:$C$4000,3,FALSE)</f>
        <v>FIDEICOMISOS SOCIEDAD FIDUCIARIA</v>
      </c>
      <c r="F45" s="28" t="s">
        <v>59</v>
      </c>
      <c r="G45" s="29">
        <v>9700</v>
      </c>
      <c r="H45" s="178">
        <v>0</v>
      </c>
      <c r="I45" s="231">
        <f t="shared" si="0"/>
        <v>9700</v>
      </c>
    </row>
    <row r="46" spans="1:9" s="1" customFormat="1" ht="15" thickBot="1" x14ac:dyDescent="0.4">
      <c r="A46" s="82">
        <v>37</v>
      </c>
      <c r="B46" s="341"/>
      <c r="C46" s="108">
        <v>43404</v>
      </c>
      <c r="D46" s="26">
        <v>830054076</v>
      </c>
      <c r="E46" s="27" t="str">
        <f>VLOOKUP(D46,[1]TERCEROS!$A$2:$C$4000,3,FALSE)</f>
        <v>FIDEICOMISOS SOCIEDAD FIDUCIARIA</v>
      </c>
      <c r="F46" s="28" t="s">
        <v>59</v>
      </c>
      <c r="G46" s="29">
        <v>9700</v>
      </c>
      <c r="H46" s="178">
        <v>0</v>
      </c>
      <c r="I46" s="231">
        <f t="shared" si="0"/>
        <v>9700</v>
      </c>
    </row>
    <row r="47" spans="1:9" s="1" customFormat="1" ht="15" thickBot="1" x14ac:dyDescent="0.4">
      <c r="A47" s="82">
        <v>38</v>
      </c>
      <c r="B47" s="341"/>
      <c r="C47" s="108">
        <v>43411</v>
      </c>
      <c r="D47" s="26">
        <v>830054076</v>
      </c>
      <c r="E47" s="27" t="str">
        <f>VLOOKUP(D47,[1]TERCEROS!$A$2:$C$4000,3,FALSE)</f>
        <v>FIDEICOMISOS SOCIEDAD FIDUCIARIA</v>
      </c>
      <c r="F47" s="28" t="s">
        <v>59</v>
      </c>
      <c r="G47" s="29">
        <v>9700</v>
      </c>
      <c r="H47" s="178">
        <v>0</v>
      </c>
      <c r="I47" s="231">
        <f t="shared" si="0"/>
        <v>9700</v>
      </c>
    </row>
    <row r="48" spans="1:9" s="1" customFormat="1" ht="15" thickBot="1" x14ac:dyDescent="0.4">
      <c r="A48" s="82">
        <v>39</v>
      </c>
      <c r="B48" s="341"/>
      <c r="C48" s="108">
        <v>43419</v>
      </c>
      <c r="D48" s="26">
        <v>830054076</v>
      </c>
      <c r="E48" s="27" t="str">
        <f>VLOOKUP(D48,[1]TERCEROS!$A$2:$C$4000,3,FALSE)</f>
        <v>FIDEICOMISOS SOCIEDAD FIDUCIARIA</v>
      </c>
      <c r="F48" s="28" t="s">
        <v>59</v>
      </c>
      <c r="G48" s="29">
        <v>9700</v>
      </c>
      <c r="H48" s="178">
        <v>0</v>
      </c>
      <c r="I48" s="231">
        <f t="shared" si="0"/>
        <v>9700</v>
      </c>
    </row>
    <row r="49" spans="1:12" s="1" customFormat="1" ht="15" thickBot="1" x14ac:dyDescent="0.4">
      <c r="A49" s="82">
        <v>40</v>
      </c>
      <c r="B49" s="341"/>
      <c r="C49" s="108">
        <v>43419</v>
      </c>
      <c r="D49" s="26">
        <v>830054076</v>
      </c>
      <c r="E49" s="27" t="str">
        <f>VLOOKUP(D49,[1]TERCEROS!$A$2:$C$4000,3,FALSE)</f>
        <v>FIDEICOMISOS SOCIEDAD FIDUCIARIA</v>
      </c>
      <c r="F49" s="28" t="s">
        <v>59</v>
      </c>
      <c r="G49" s="29">
        <v>9700</v>
      </c>
      <c r="H49" s="178">
        <v>0</v>
      </c>
      <c r="I49" s="231">
        <f t="shared" si="0"/>
        <v>9700</v>
      </c>
    </row>
    <row r="50" spans="1:12" s="1" customFormat="1" ht="15" thickBot="1" x14ac:dyDescent="0.4">
      <c r="A50" s="82">
        <v>41</v>
      </c>
      <c r="B50" s="341"/>
      <c r="C50" s="108">
        <v>43420</v>
      </c>
      <c r="D50" s="26">
        <v>830054076</v>
      </c>
      <c r="E50" s="27" t="str">
        <f>VLOOKUP(D50,[1]TERCEROS!$A$2:$C$4000,3,FALSE)</f>
        <v>FIDEICOMISOS SOCIEDAD FIDUCIARIA</v>
      </c>
      <c r="F50" s="28" t="s">
        <v>59</v>
      </c>
      <c r="G50" s="29">
        <v>9700</v>
      </c>
      <c r="H50" s="178">
        <v>0</v>
      </c>
      <c r="I50" s="231">
        <f t="shared" si="0"/>
        <v>9700</v>
      </c>
    </row>
    <row r="51" spans="1:12" s="1" customFormat="1" ht="15" thickBot="1" x14ac:dyDescent="0.4">
      <c r="A51" s="82">
        <v>42</v>
      </c>
      <c r="B51" s="341"/>
      <c r="C51" s="108">
        <v>43419</v>
      </c>
      <c r="D51" s="26">
        <v>830054076</v>
      </c>
      <c r="E51" s="27" t="str">
        <f>VLOOKUP(D51,[1]TERCEROS!$A$2:$C$4000,3,FALSE)</f>
        <v>FIDEICOMISOS SOCIEDAD FIDUCIARIA</v>
      </c>
      <c r="F51" s="28" t="s">
        <v>59</v>
      </c>
      <c r="G51" s="29">
        <v>9700</v>
      </c>
      <c r="H51" s="178">
        <v>0</v>
      </c>
      <c r="I51" s="231">
        <f t="shared" si="0"/>
        <v>9700</v>
      </c>
    </row>
    <row r="52" spans="1:12" s="1" customFormat="1" ht="15" thickBot="1" x14ac:dyDescent="0.4">
      <c r="A52" s="82">
        <v>43</v>
      </c>
      <c r="B52" s="341"/>
      <c r="C52" s="108">
        <v>43413</v>
      </c>
      <c r="D52" s="26">
        <v>830054076</v>
      </c>
      <c r="E52" s="27" t="str">
        <f>VLOOKUP(D52,[1]TERCEROS!$A$2:$C$4000,3,FALSE)</f>
        <v>FIDEICOMISOS SOCIEDAD FIDUCIARIA</v>
      </c>
      <c r="F52" s="28" t="s">
        <v>59</v>
      </c>
      <c r="G52" s="29">
        <v>9700</v>
      </c>
      <c r="H52" s="178">
        <v>0</v>
      </c>
      <c r="I52" s="231">
        <f t="shared" si="0"/>
        <v>9700</v>
      </c>
    </row>
    <row r="53" spans="1:12" s="1" customFormat="1" ht="15" thickBot="1" x14ac:dyDescent="0.4">
      <c r="A53" s="82">
        <v>44</v>
      </c>
      <c r="B53" s="341"/>
      <c r="C53" s="108">
        <v>43417</v>
      </c>
      <c r="D53" s="26">
        <v>830054076</v>
      </c>
      <c r="E53" s="27" t="str">
        <f>VLOOKUP(D53,[1]TERCEROS!$A$2:$C$4000,3,FALSE)</f>
        <v>FIDEICOMISOS SOCIEDAD FIDUCIARIA</v>
      </c>
      <c r="F53" s="28" t="s">
        <v>59</v>
      </c>
      <c r="G53" s="29">
        <v>9700</v>
      </c>
      <c r="H53" s="178">
        <v>0</v>
      </c>
      <c r="I53" s="231">
        <f t="shared" si="0"/>
        <v>9700</v>
      </c>
    </row>
    <row r="54" spans="1:12" s="1" customFormat="1" ht="15" thickBot="1" x14ac:dyDescent="0.4">
      <c r="A54" s="82">
        <v>45</v>
      </c>
      <c r="B54" s="341"/>
      <c r="C54" s="108">
        <v>43413</v>
      </c>
      <c r="D54" s="26">
        <v>830054076</v>
      </c>
      <c r="E54" s="27" t="str">
        <f>VLOOKUP(D54,[1]TERCEROS!$A$2:$C$4000,3,FALSE)</f>
        <v>FIDEICOMISOS SOCIEDAD FIDUCIARIA</v>
      </c>
      <c r="F54" s="28" t="s">
        <v>59</v>
      </c>
      <c r="G54" s="29">
        <v>9700</v>
      </c>
      <c r="H54" s="178">
        <v>0</v>
      </c>
      <c r="I54" s="231">
        <f t="shared" si="0"/>
        <v>9700</v>
      </c>
    </row>
    <row r="55" spans="1:12" s="1" customFormat="1" ht="15" thickBot="1" x14ac:dyDescent="0.4">
      <c r="A55" s="82">
        <v>46</v>
      </c>
      <c r="B55" s="341"/>
      <c r="C55" s="108">
        <v>43413</v>
      </c>
      <c r="D55" s="26">
        <v>830054076</v>
      </c>
      <c r="E55" s="27" t="str">
        <f>VLOOKUP(D55,[1]TERCEROS!$A$2:$C$4000,3,FALSE)</f>
        <v>FIDEICOMISOS SOCIEDAD FIDUCIARIA</v>
      </c>
      <c r="F55" s="28" t="s">
        <v>59</v>
      </c>
      <c r="G55" s="29">
        <v>9700</v>
      </c>
      <c r="H55" s="178">
        <v>0</v>
      </c>
      <c r="I55" s="231">
        <f t="shared" si="0"/>
        <v>9700</v>
      </c>
    </row>
    <row r="56" spans="1:12" s="1" customFormat="1" ht="15" thickBot="1" x14ac:dyDescent="0.4">
      <c r="A56" s="82">
        <v>47</v>
      </c>
      <c r="B56" s="341"/>
      <c r="C56" s="108">
        <v>43417</v>
      </c>
      <c r="D56" s="26">
        <v>830054076</v>
      </c>
      <c r="E56" s="27" t="str">
        <f>VLOOKUP(D56,[1]TERCEROS!$A$2:$C$4000,3,FALSE)</f>
        <v>FIDEICOMISOS SOCIEDAD FIDUCIARIA</v>
      </c>
      <c r="F56" s="28" t="s">
        <v>59</v>
      </c>
      <c r="G56" s="29">
        <v>9700</v>
      </c>
      <c r="H56" s="178">
        <v>0</v>
      </c>
      <c r="I56" s="231">
        <f t="shared" si="0"/>
        <v>9700</v>
      </c>
    </row>
    <row r="57" spans="1:12" s="1" customFormat="1" ht="15" thickBot="1" x14ac:dyDescent="0.4">
      <c r="A57" s="82">
        <v>48</v>
      </c>
      <c r="B57" s="341"/>
      <c r="C57" s="108">
        <v>43416</v>
      </c>
      <c r="D57" s="26">
        <v>830054076</v>
      </c>
      <c r="E57" s="27" t="str">
        <f>VLOOKUP(D57,[1]TERCEROS!$A$2:$C$4000,3,FALSE)</f>
        <v>FIDEICOMISOS SOCIEDAD FIDUCIARIA</v>
      </c>
      <c r="F57" s="28" t="s">
        <v>59</v>
      </c>
      <c r="G57" s="29">
        <v>9700</v>
      </c>
      <c r="H57" s="178">
        <v>0</v>
      </c>
      <c r="I57" s="231">
        <f t="shared" si="0"/>
        <v>9700</v>
      </c>
    </row>
    <row r="58" spans="1:12" s="1" customFormat="1" ht="15" thickBot="1" x14ac:dyDescent="0.4">
      <c r="A58" s="82">
        <v>49</v>
      </c>
      <c r="B58" s="341"/>
      <c r="C58" s="108">
        <v>43419</v>
      </c>
      <c r="D58" s="26">
        <v>800016744</v>
      </c>
      <c r="E58" s="27" t="s">
        <v>477</v>
      </c>
      <c r="F58" s="28" t="s">
        <v>34</v>
      </c>
      <c r="G58" s="29">
        <v>50000</v>
      </c>
      <c r="H58" s="178">
        <v>0</v>
      </c>
      <c r="I58" s="231">
        <f t="shared" si="0"/>
        <v>50000</v>
      </c>
    </row>
    <row r="59" spans="1:12" s="1" customFormat="1" ht="15" thickBot="1" x14ac:dyDescent="0.4">
      <c r="A59" s="82">
        <v>50</v>
      </c>
      <c r="B59" s="341"/>
      <c r="C59" s="108">
        <v>43418</v>
      </c>
      <c r="D59" s="26">
        <v>900491889</v>
      </c>
      <c r="E59" s="27" t="str">
        <f>VLOOKUP(D59,[1]TERCEROS!$A$2:$C$4000,3,FALSE)</f>
        <v>EDS TERMINAL NEIVA</v>
      </c>
      <c r="F59" s="28" t="s">
        <v>34</v>
      </c>
      <c r="G59" s="29">
        <v>50000</v>
      </c>
      <c r="H59" s="178">
        <v>0</v>
      </c>
      <c r="I59" s="231">
        <f t="shared" si="0"/>
        <v>50000</v>
      </c>
    </row>
    <row r="60" spans="1:12" s="1" customFormat="1" ht="15" thickBot="1" x14ac:dyDescent="0.4">
      <c r="A60" s="82">
        <v>51</v>
      </c>
      <c r="B60" s="341"/>
      <c r="C60" s="108">
        <v>43203</v>
      </c>
      <c r="D60" s="26">
        <v>19300847</v>
      </c>
      <c r="E60" s="27" t="str">
        <f>VLOOKUP(D60,[1]TERCEROS!$A$2:$C$4000,3,FALSE)</f>
        <v>MENJURA CASTELLANOS JORGE ANTONIO</v>
      </c>
      <c r="F60" s="28" t="s">
        <v>502</v>
      </c>
      <c r="G60" s="29">
        <v>34600</v>
      </c>
      <c r="H60" s="178">
        <v>0</v>
      </c>
      <c r="I60" s="231">
        <f t="shared" si="0"/>
        <v>34600</v>
      </c>
    </row>
    <row r="61" spans="1:12" s="1" customFormat="1" ht="15" thickBot="1" x14ac:dyDescent="0.4">
      <c r="A61" s="82">
        <v>52</v>
      </c>
      <c r="B61" s="341"/>
      <c r="C61" s="108">
        <v>43396</v>
      </c>
      <c r="D61" s="26">
        <v>860530559</v>
      </c>
      <c r="E61" s="27" t="str">
        <f>VLOOKUP(D61,[1]TERCEROS!$A$2:$C$4000,3,FALSE)</f>
        <v>PARQUEADERO TEQUENDAMA LTDA</v>
      </c>
      <c r="F61" s="28" t="s">
        <v>272</v>
      </c>
      <c r="G61" s="29">
        <v>12568</v>
      </c>
      <c r="H61" s="178">
        <f>+G61*19%</f>
        <v>2387.92</v>
      </c>
      <c r="I61" s="231">
        <f t="shared" si="0"/>
        <v>14955.92</v>
      </c>
    </row>
    <row r="62" spans="1:12" s="1" customFormat="1" ht="15" thickBot="1" x14ac:dyDescent="0.4">
      <c r="A62" s="82">
        <v>53</v>
      </c>
      <c r="B62" s="341"/>
      <c r="C62" s="108">
        <v>43419</v>
      </c>
      <c r="D62" s="26">
        <v>860512330</v>
      </c>
      <c r="E62" s="27" t="str">
        <f>VLOOKUP(D62,[1]TERCEROS!$A$2:$C$4000,3,FALSE)</f>
        <v>SERVIENTREGA S.A.</v>
      </c>
      <c r="F62" s="28" t="s">
        <v>285</v>
      </c>
      <c r="G62" s="29">
        <v>5400</v>
      </c>
      <c r="H62" s="178">
        <v>0</v>
      </c>
      <c r="I62" s="231">
        <f t="shared" si="0"/>
        <v>5400</v>
      </c>
      <c r="L62" s="210">
        <f>+G62*19%</f>
        <v>1026</v>
      </c>
    </row>
    <row r="63" spans="1:12" s="1" customFormat="1" ht="15" thickBot="1" x14ac:dyDescent="0.4">
      <c r="A63" s="82">
        <v>54</v>
      </c>
      <c r="B63" s="341"/>
      <c r="C63" s="108">
        <v>43419</v>
      </c>
      <c r="D63" s="26">
        <v>860512330</v>
      </c>
      <c r="E63" s="27" t="str">
        <f>VLOOKUP(D63,[1]TERCEROS!$A$2:$C$4000,3,FALSE)</f>
        <v>SERVIENTREGA S.A.</v>
      </c>
      <c r="F63" s="28" t="s">
        <v>285</v>
      </c>
      <c r="G63" s="29">
        <v>9800</v>
      </c>
      <c r="H63" s="178">
        <v>0</v>
      </c>
      <c r="I63" s="231">
        <f t="shared" si="0"/>
        <v>9800</v>
      </c>
    </row>
    <row r="64" spans="1:12" s="1" customFormat="1" ht="15" thickBot="1" x14ac:dyDescent="0.4">
      <c r="A64" s="82">
        <v>55</v>
      </c>
      <c r="B64" s="341"/>
      <c r="C64" s="108">
        <v>43419</v>
      </c>
      <c r="D64" s="26">
        <v>860512330</v>
      </c>
      <c r="E64" s="27" t="str">
        <f>VLOOKUP(D64,[1]TERCEROS!$A$2:$C$4000,3,FALSE)</f>
        <v>SERVIENTREGA S.A.</v>
      </c>
      <c r="F64" s="28" t="s">
        <v>285</v>
      </c>
      <c r="G64" s="29">
        <v>9800</v>
      </c>
      <c r="H64" s="178">
        <v>0</v>
      </c>
      <c r="I64" s="231">
        <f t="shared" si="0"/>
        <v>9800</v>
      </c>
    </row>
    <row r="65" spans="1:9" s="1" customFormat="1" ht="15" thickBot="1" x14ac:dyDescent="0.4">
      <c r="A65" s="82">
        <v>56</v>
      </c>
      <c r="B65" s="341"/>
      <c r="C65" s="108">
        <v>43413</v>
      </c>
      <c r="D65" s="26">
        <v>20993981</v>
      </c>
      <c r="E65" s="27" t="str">
        <f>VLOOKUP(D65,[1]TERCEROS!$A$2:$C$4000,3,FALSE)</f>
        <v>MARTA LUCIA GOMEZ HILARION</v>
      </c>
      <c r="F65" s="28" t="s">
        <v>375</v>
      </c>
      <c r="G65" s="29">
        <v>12000</v>
      </c>
      <c r="H65" s="178">
        <v>0</v>
      </c>
      <c r="I65" s="231">
        <f t="shared" si="0"/>
        <v>12000</v>
      </c>
    </row>
    <row r="66" spans="1:9" s="1" customFormat="1" ht="15" thickBot="1" x14ac:dyDescent="0.4">
      <c r="A66" s="82">
        <v>57</v>
      </c>
      <c r="B66" s="341"/>
      <c r="C66" s="108">
        <v>43413</v>
      </c>
      <c r="D66" s="26">
        <v>20993981</v>
      </c>
      <c r="E66" s="27" t="str">
        <f>VLOOKUP(D66,[1]TERCEROS!$A$2:$C$4000,3,FALSE)</f>
        <v>MARTA LUCIA GOMEZ HILARION</v>
      </c>
      <c r="F66" s="28" t="s">
        <v>375</v>
      </c>
      <c r="G66" s="29">
        <v>12000</v>
      </c>
      <c r="H66" s="178">
        <v>0</v>
      </c>
      <c r="I66" s="231">
        <f t="shared" si="0"/>
        <v>12000</v>
      </c>
    </row>
    <row r="67" spans="1:9" s="1" customFormat="1" ht="15" thickBot="1" x14ac:dyDescent="0.4">
      <c r="A67" s="82">
        <v>58</v>
      </c>
      <c r="B67" s="341"/>
      <c r="C67" s="108">
        <v>43420</v>
      </c>
      <c r="D67" s="26">
        <v>830054076</v>
      </c>
      <c r="E67" s="27" t="str">
        <f>VLOOKUP(D67,[1]TERCEROS!$A$2:$C$4000,3,FALSE)</f>
        <v>FIDEICOMISOS SOCIEDAD FIDUCIARIA</v>
      </c>
      <c r="F67" s="28" t="s">
        <v>59</v>
      </c>
      <c r="G67" s="29">
        <v>9700</v>
      </c>
      <c r="H67" s="178">
        <v>0</v>
      </c>
      <c r="I67" s="231">
        <f t="shared" si="0"/>
        <v>9700</v>
      </c>
    </row>
    <row r="68" spans="1:9" s="1" customFormat="1" ht="15" thickBot="1" x14ac:dyDescent="0.4">
      <c r="A68" s="82">
        <v>59</v>
      </c>
      <c r="B68" s="341"/>
      <c r="C68" s="108">
        <v>43417</v>
      </c>
      <c r="D68" s="26">
        <v>1014223814</v>
      </c>
      <c r="E68" s="27" t="s">
        <v>478</v>
      </c>
      <c r="F68" s="28" t="s">
        <v>35</v>
      </c>
      <c r="G68" s="29">
        <v>10000</v>
      </c>
      <c r="H68" s="178">
        <v>0</v>
      </c>
      <c r="I68" s="231">
        <f t="shared" si="0"/>
        <v>10000</v>
      </c>
    </row>
    <row r="69" spans="1:9" s="1" customFormat="1" ht="15" thickBot="1" x14ac:dyDescent="0.4">
      <c r="A69" s="82">
        <v>60</v>
      </c>
      <c r="B69" s="341"/>
      <c r="C69" s="108">
        <v>43377</v>
      </c>
      <c r="D69" s="26">
        <v>900860284</v>
      </c>
      <c r="E69" s="27" t="s">
        <v>298</v>
      </c>
      <c r="F69" s="28" t="s">
        <v>272</v>
      </c>
      <c r="G69" s="29">
        <v>5000</v>
      </c>
      <c r="H69" s="178">
        <v>0</v>
      </c>
      <c r="I69" s="231">
        <f t="shared" si="0"/>
        <v>5000</v>
      </c>
    </row>
    <row r="70" spans="1:9" s="1" customFormat="1" ht="15" thickBot="1" x14ac:dyDescent="0.4">
      <c r="A70" s="82">
        <v>61</v>
      </c>
      <c r="B70" s="341"/>
      <c r="C70" s="108">
        <v>43416</v>
      </c>
      <c r="D70" s="26">
        <v>900934851</v>
      </c>
      <c r="E70" s="27" t="s">
        <v>479</v>
      </c>
      <c r="F70" s="28" t="s">
        <v>480</v>
      </c>
      <c r="G70" s="29">
        <v>232774</v>
      </c>
      <c r="H70" s="178">
        <v>0</v>
      </c>
      <c r="I70" s="231">
        <f t="shared" si="0"/>
        <v>232774</v>
      </c>
    </row>
    <row r="71" spans="1:9" s="1" customFormat="1" ht="15" thickBot="1" x14ac:dyDescent="0.4">
      <c r="A71" s="82">
        <v>62</v>
      </c>
      <c r="B71" s="341"/>
      <c r="C71" s="108">
        <v>43417</v>
      </c>
      <c r="D71" s="26">
        <v>1814223814</v>
      </c>
      <c r="E71" s="27" t="s">
        <v>478</v>
      </c>
      <c r="F71" s="28" t="s">
        <v>35</v>
      </c>
      <c r="G71" s="29">
        <v>40000</v>
      </c>
      <c r="H71" s="178">
        <v>0</v>
      </c>
      <c r="I71" s="231">
        <f t="shared" si="0"/>
        <v>40000</v>
      </c>
    </row>
    <row r="72" spans="1:9" s="1" customFormat="1" ht="15" thickBot="1" x14ac:dyDescent="0.4">
      <c r="A72" s="82">
        <v>63</v>
      </c>
      <c r="B72" s="341"/>
      <c r="C72" s="108">
        <v>43416</v>
      </c>
      <c r="D72" s="26">
        <v>1814223814</v>
      </c>
      <c r="E72" s="27" t="s">
        <v>478</v>
      </c>
      <c r="F72" s="28" t="s">
        <v>481</v>
      </c>
      <c r="G72" s="29">
        <v>36000</v>
      </c>
      <c r="H72" s="178">
        <v>0</v>
      </c>
      <c r="I72" s="231">
        <f t="shared" si="0"/>
        <v>36000</v>
      </c>
    </row>
    <row r="73" spans="1:9" s="1" customFormat="1" ht="15" thickBot="1" x14ac:dyDescent="0.4">
      <c r="A73" s="82">
        <v>64</v>
      </c>
      <c r="B73" s="341"/>
      <c r="C73" s="108">
        <v>43418</v>
      </c>
      <c r="D73" s="26">
        <v>9087566</v>
      </c>
      <c r="E73" s="27" t="s">
        <v>482</v>
      </c>
      <c r="F73" s="28" t="s">
        <v>264</v>
      </c>
      <c r="G73" s="29">
        <v>3600</v>
      </c>
      <c r="H73" s="178">
        <f>+G73*19%</f>
        <v>684</v>
      </c>
      <c r="I73" s="231">
        <f t="shared" si="0"/>
        <v>4284</v>
      </c>
    </row>
    <row r="74" spans="1:9" s="1" customFormat="1" ht="24.5" thickBot="1" x14ac:dyDescent="0.4">
      <c r="A74" s="82">
        <v>65</v>
      </c>
      <c r="B74" s="341"/>
      <c r="C74" s="108">
        <v>43419</v>
      </c>
      <c r="D74" s="26">
        <v>83208528</v>
      </c>
      <c r="E74" s="27" t="s">
        <v>483</v>
      </c>
      <c r="F74" s="28" t="s">
        <v>484</v>
      </c>
      <c r="G74" s="29">
        <v>41515</v>
      </c>
      <c r="H74" s="178">
        <f>+G74*19%</f>
        <v>7887.85</v>
      </c>
      <c r="I74" s="231">
        <f t="shared" si="0"/>
        <v>49402.85</v>
      </c>
    </row>
    <row r="75" spans="1:9" s="1" customFormat="1" ht="15" thickBot="1" x14ac:dyDescent="0.4">
      <c r="A75" s="82">
        <v>66</v>
      </c>
      <c r="B75" s="341"/>
      <c r="C75" s="108">
        <v>43419</v>
      </c>
      <c r="D75" s="26">
        <v>1072655064</v>
      </c>
      <c r="E75" s="27" t="s">
        <v>485</v>
      </c>
      <c r="F75" s="28" t="s">
        <v>486</v>
      </c>
      <c r="G75" s="29">
        <v>146500</v>
      </c>
      <c r="H75" s="178">
        <v>0</v>
      </c>
      <c r="I75" s="231">
        <f t="shared" si="0"/>
        <v>146500</v>
      </c>
    </row>
    <row r="76" spans="1:9" s="1" customFormat="1" ht="15" thickBot="1" x14ac:dyDescent="0.4">
      <c r="A76" s="82">
        <v>67</v>
      </c>
      <c r="B76" s="341"/>
      <c r="C76" s="108">
        <v>43419</v>
      </c>
      <c r="D76" s="26">
        <v>1013591422</v>
      </c>
      <c r="E76" s="27" t="s">
        <v>487</v>
      </c>
      <c r="F76" s="28" t="s">
        <v>48</v>
      </c>
      <c r="G76" s="29">
        <v>130000</v>
      </c>
      <c r="H76" s="178">
        <v>0</v>
      </c>
      <c r="I76" s="231">
        <f t="shared" si="0"/>
        <v>130000</v>
      </c>
    </row>
    <row r="77" spans="1:9" s="1" customFormat="1" ht="15" thickBot="1" x14ac:dyDescent="0.4">
      <c r="A77" s="82">
        <v>68</v>
      </c>
      <c r="B77" s="341"/>
      <c r="C77" s="108">
        <v>43423</v>
      </c>
      <c r="D77" s="26">
        <v>800097424</v>
      </c>
      <c r="E77" s="27" t="str">
        <f>VLOOKUP(D77,[1]TERCEROS!$A$2:$C$4000,3,FALSE)</f>
        <v>DISTRIBUIDORA LA PUNTA LTDA</v>
      </c>
      <c r="F77" s="28" t="s">
        <v>488</v>
      </c>
      <c r="G77" s="29">
        <v>37807</v>
      </c>
      <c r="H77" s="178">
        <f>+G77*19%</f>
        <v>7183.33</v>
      </c>
      <c r="I77" s="231">
        <f t="shared" si="0"/>
        <v>44990.33</v>
      </c>
    </row>
    <row r="78" spans="1:9" s="1" customFormat="1" ht="15" thickBot="1" x14ac:dyDescent="0.4">
      <c r="A78" s="82">
        <v>69</v>
      </c>
      <c r="B78" s="341"/>
      <c r="C78" s="108">
        <v>43419</v>
      </c>
      <c r="D78" s="26">
        <v>830116939</v>
      </c>
      <c r="E78" s="27" t="str">
        <f>VLOOKUP(D78,[1]TERCEROS!$A$2:$C$4000,3,FALSE)</f>
        <v>INVERSIONES MATIZ</v>
      </c>
      <c r="F78" s="28" t="s">
        <v>34</v>
      </c>
      <c r="G78" s="29">
        <v>25000</v>
      </c>
      <c r="H78" s="178">
        <v>0</v>
      </c>
      <c r="I78" s="231">
        <f t="shared" si="0"/>
        <v>25000</v>
      </c>
    </row>
    <row r="79" spans="1:9" s="1" customFormat="1" ht="15" thickBot="1" x14ac:dyDescent="0.4">
      <c r="A79" s="82">
        <v>70</v>
      </c>
      <c r="B79" s="341"/>
      <c r="C79" s="108">
        <v>43419</v>
      </c>
      <c r="D79" s="26">
        <v>830054076</v>
      </c>
      <c r="E79" s="27" t="str">
        <f>VLOOKUP(D79,[1]TERCEROS!$A$2:$C$4000,3,FALSE)</f>
        <v>FIDEICOMISOS SOCIEDAD FIDUCIARIA</v>
      </c>
      <c r="F79" s="28" t="s">
        <v>59</v>
      </c>
      <c r="G79" s="29">
        <v>9700</v>
      </c>
      <c r="H79" s="178">
        <v>0</v>
      </c>
      <c r="I79" s="231">
        <f t="shared" si="0"/>
        <v>9700</v>
      </c>
    </row>
    <row r="80" spans="1:9" s="1" customFormat="1" ht="15" thickBot="1" x14ac:dyDescent="0.4">
      <c r="A80" s="82">
        <v>71</v>
      </c>
      <c r="B80" s="341"/>
      <c r="C80" s="108">
        <v>43407</v>
      </c>
      <c r="D80" s="26">
        <v>860023369</v>
      </c>
      <c r="E80" s="27" t="str">
        <f>VLOOKUP(D80,[1]TERCEROS!$A$2:$C$4000,3,FALSE)</f>
        <v>LUIS EDUARDO CAICEDO S.A</v>
      </c>
      <c r="F80" s="28" t="s">
        <v>489</v>
      </c>
      <c r="G80" s="29">
        <v>117630</v>
      </c>
      <c r="H80" s="178">
        <f>+G80*19%</f>
        <v>22349.7</v>
      </c>
      <c r="I80" s="231">
        <f t="shared" si="0"/>
        <v>139979.70000000001</v>
      </c>
    </row>
    <row r="81" spans="1:9" s="1" customFormat="1" ht="24.5" thickBot="1" x14ac:dyDescent="0.4">
      <c r="A81" s="82">
        <v>72</v>
      </c>
      <c r="B81" s="341"/>
      <c r="C81" s="108">
        <v>43420</v>
      </c>
      <c r="D81" s="26">
        <v>22222222</v>
      </c>
      <c r="E81" s="27" t="s">
        <v>490</v>
      </c>
      <c r="F81" s="28" t="s">
        <v>491</v>
      </c>
      <c r="G81" s="29">
        <v>20000</v>
      </c>
      <c r="H81" s="178">
        <v>0</v>
      </c>
      <c r="I81" s="231">
        <f t="shared" si="0"/>
        <v>20000</v>
      </c>
    </row>
    <row r="82" spans="1:9" s="1" customFormat="1" ht="15" thickBot="1" x14ac:dyDescent="0.4">
      <c r="A82" s="82">
        <v>73</v>
      </c>
      <c r="B82" s="341"/>
      <c r="C82" s="108">
        <v>43418</v>
      </c>
      <c r="D82" s="26">
        <v>80429174</v>
      </c>
      <c r="E82" s="27" t="s">
        <v>492</v>
      </c>
      <c r="F82" s="28" t="s">
        <v>46</v>
      </c>
      <c r="G82" s="29">
        <v>20000</v>
      </c>
      <c r="H82" s="178">
        <v>0</v>
      </c>
      <c r="I82" s="231">
        <f t="shared" si="0"/>
        <v>20000</v>
      </c>
    </row>
    <row r="83" spans="1:9" s="1" customFormat="1" ht="15" thickBot="1" x14ac:dyDescent="0.4">
      <c r="A83" s="82">
        <v>74</v>
      </c>
      <c r="B83" s="341"/>
      <c r="C83" s="108">
        <v>43420</v>
      </c>
      <c r="D83" s="26">
        <v>1031138543</v>
      </c>
      <c r="E83" s="27" t="str">
        <f>VLOOKUP(D83,[1]TERCEROS!$A$2:$C$4000,3,FALSE)</f>
        <v>OSCAR EDUARDO VALENCIA</v>
      </c>
      <c r="F83" s="28" t="s">
        <v>128</v>
      </c>
      <c r="G83" s="29">
        <v>130000</v>
      </c>
      <c r="H83" s="178">
        <v>0</v>
      </c>
      <c r="I83" s="231">
        <f t="shared" si="0"/>
        <v>130000</v>
      </c>
    </row>
    <row r="84" spans="1:9" s="1" customFormat="1" ht="15" thickBot="1" x14ac:dyDescent="0.4">
      <c r="A84" s="82">
        <v>75</v>
      </c>
      <c r="B84" s="341"/>
      <c r="C84" s="108">
        <v>43419</v>
      </c>
      <c r="D84" s="26">
        <v>860503560</v>
      </c>
      <c r="E84" s="27" t="str">
        <f>VLOOKUP(D84,[1]TERCEROS!$A$2:$C$4000,3,FALSE)</f>
        <v>APARCAR LTDA</v>
      </c>
      <c r="F84" s="28" t="s">
        <v>35</v>
      </c>
      <c r="G84" s="29">
        <v>1008</v>
      </c>
      <c r="H84" s="178">
        <f>+G84*19%</f>
        <v>191.52</v>
      </c>
      <c r="I84" s="231">
        <f t="shared" si="0"/>
        <v>1199.52</v>
      </c>
    </row>
    <row r="85" spans="1:9" s="1" customFormat="1" ht="15" thickBot="1" x14ac:dyDescent="0.4">
      <c r="A85" s="82">
        <v>76</v>
      </c>
      <c r="B85" s="341"/>
      <c r="C85" s="108">
        <v>43419</v>
      </c>
      <c r="D85" s="26">
        <v>152877</v>
      </c>
      <c r="E85" s="27" t="s">
        <v>373</v>
      </c>
      <c r="F85" s="28" t="s">
        <v>35</v>
      </c>
      <c r="G85" s="29">
        <v>2500</v>
      </c>
      <c r="H85" s="178">
        <v>0</v>
      </c>
      <c r="I85" s="231">
        <f t="shared" si="0"/>
        <v>2500</v>
      </c>
    </row>
    <row r="86" spans="1:9" s="1" customFormat="1" ht="15" thickBot="1" x14ac:dyDescent="0.4">
      <c r="A86" s="82">
        <v>77</v>
      </c>
      <c r="B86" s="341"/>
      <c r="C86" s="108">
        <v>43418</v>
      </c>
      <c r="D86" s="26">
        <v>900050514</v>
      </c>
      <c r="E86" s="27" t="s">
        <v>376</v>
      </c>
      <c r="F86" s="28" t="s">
        <v>35</v>
      </c>
      <c r="G86" s="29">
        <v>5126</v>
      </c>
      <c r="H86" s="178">
        <f>+G86*19%</f>
        <v>973.94</v>
      </c>
      <c r="I86" s="231">
        <v>6100</v>
      </c>
    </row>
    <row r="87" spans="1:9" s="1" customFormat="1" ht="15" thickBot="1" x14ac:dyDescent="0.4">
      <c r="A87" s="82">
        <v>78</v>
      </c>
      <c r="B87" s="341"/>
      <c r="C87" s="108">
        <v>43417</v>
      </c>
      <c r="D87" s="26">
        <v>1010219221</v>
      </c>
      <c r="E87" s="27" t="str">
        <f>VLOOKUP(D87,[1]TERCEROS!$A$2:$C$4000,3,FALSE)</f>
        <v>QUEVEDO TORRES RAFAEL GUILLERMO</v>
      </c>
      <c r="F87" s="28" t="s">
        <v>35</v>
      </c>
      <c r="G87" s="29">
        <v>1900</v>
      </c>
      <c r="H87" s="178">
        <v>0</v>
      </c>
      <c r="I87" s="238">
        <f>G87+H87</f>
        <v>1900</v>
      </c>
    </row>
    <row r="88" spans="1:9" s="1" customFormat="1" ht="15" thickBot="1" x14ac:dyDescent="0.4">
      <c r="A88" s="82">
        <v>79</v>
      </c>
      <c r="B88" s="346"/>
      <c r="C88" s="108">
        <v>43402</v>
      </c>
      <c r="D88" s="26">
        <v>800074742</v>
      </c>
      <c r="E88" s="27" t="s">
        <v>493</v>
      </c>
      <c r="F88" s="28" t="s">
        <v>494</v>
      </c>
      <c r="G88" s="29">
        <v>240000</v>
      </c>
      <c r="H88" s="178">
        <v>0</v>
      </c>
      <c r="I88" s="238">
        <f t="shared" ref="I88:I96" si="1">G88+H88</f>
        <v>240000</v>
      </c>
    </row>
    <row r="89" spans="1:9" s="1" customFormat="1" ht="24.5" thickBot="1" x14ac:dyDescent="0.4">
      <c r="A89" s="82">
        <v>80</v>
      </c>
      <c r="B89" s="340" t="s">
        <v>238</v>
      </c>
      <c r="C89" s="108">
        <v>43420</v>
      </c>
      <c r="D89" s="26">
        <v>900890132</v>
      </c>
      <c r="E89" s="27" t="s">
        <v>495</v>
      </c>
      <c r="F89" s="28" t="s">
        <v>496</v>
      </c>
      <c r="G89" s="29">
        <v>83193</v>
      </c>
      <c r="H89" s="178">
        <f>+G89*19%</f>
        <v>15806.67</v>
      </c>
      <c r="I89" s="238">
        <f t="shared" si="1"/>
        <v>98999.67</v>
      </c>
    </row>
    <row r="90" spans="1:9" s="1" customFormat="1" ht="15" thickBot="1" x14ac:dyDescent="0.4">
      <c r="A90" s="82">
        <v>81</v>
      </c>
      <c r="B90" s="341"/>
      <c r="C90" s="108">
        <v>43420</v>
      </c>
      <c r="D90" s="26">
        <v>4137377</v>
      </c>
      <c r="E90" s="27" t="s">
        <v>497</v>
      </c>
      <c r="F90" s="28" t="s">
        <v>498</v>
      </c>
      <c r="G90" s="29">
        <v>10700</v>
      </c>
      <c r="H90" s="178">
        <f>+G90*19%</f>
        <v>2033</v>
      </c>
      <c r="I90" s="238">
        <f t="shared" si="1"/>
        <v>12733</v>
      </c>
    </row>
    <row r="91" spans="1:9" s="1" customFormat="1" ht="15" thickBot="1" x14ac:dyDescent="0.4">
      <c r="A91" s="82">
        <v>82</v>
      </c>
      <c r="B91" s="346"/>
      <c r="C91" s="108">
        <v>43420</v>
      </c>
      <c r="D91" s="26">
        <v>4137377</v>
      </c>
      <c r="E91" s="27" t="s">
        <v>497</v>
      </c>
      <c r="F91" s="28" t="s">
        <v>498</v>
      </c>
      <c r="G91" s="29">
        <v>37000</v>
      </c>
      <c r="H91" s="178">
        <f>+G91*19%</f>
        <v>7030</v>
      </c>
      <c r="I91" s="238">
        <f t="shared" si="1"/>
        <v>44030</v>
      </c>
    </row>
    <row r="92" spans="1:9" s="1" customFormat="1" ht="15" thickBot="1" x14ac:dyDescent="0.4">
      <c r="A92" s="82">
        <v>83</v>
      </c>
      <c r="B92" s="250"/>
      <c r="C92" s="108">
        <v>43420</v>
      </c>
      <c r="D92" s="26">
        <v>830057186</v>
      </c>
      <c r="E92" s="27" t="s">
        <v>504</v>
      </c>
      <c r="F92" s="28" t="s">
        <v>503</v>
      </c>
      <c r="G92" s="29">
        <v>136728</v>
      </c>
      <c r="H92" s="178">
        <f>+G92*19%</f>
        <v>25978.32</v>
      </c>
      <c r="I92" s="238">
        <f t="shared" si="1"/>
        <v>162706.32</v>
      </c>
    </row>
    <row r="93" spans="1:9" s="1" customFormat="1" ht="15" thickBot="1" x14ac:dyDescent="0.4">
      <c r="A93" s="82">
        <v>84</v>
      </c>
      <c r="B93" s="250"/>
      <c r="C93" s="108">
        <v>43420</v>
      </c>
      <c r="D93" s="26">
        <v>1077863916</v>
      </c>
      <c r="E93" s="27" t="s">
        <v>505</v>
      </c>
      <c r="F93" s="28" t="s">
        <v>35</v>
      </c>
      <c r="G93" s="29">
        <v>9660</v>
      </c>
      <c r="H93" s="178"/>
      <c r="I93" s="238">
        <f t="shared" si="1"/>
        <v>9660</v>
      </c>
    </row>
    <row r="94" spans="1:9" s="1" customFormat="1" ht="15" thickBot="1" x14ac:dyDescent="0.4">
      <c r="A94" s="82">
        <v>85</v>
      </c>
      <c r="B94" s="340" t="s">
        <v>369</v>
      </c>
      <c r="C94" s="108">
        <v>43419</v>
      </c>
      <c r="D94" s="26">
        <v>79583606</v>
      </c>
      <c r="E94" s="27" t="str">
        <f>VLOOKUP(D94,[1]TERCEROS!$A$2:$C$4000,3,FALSE)</f>
        <v>LEONARDO JAVIER MEDINA FORERO</v>
      </c>
      <c r="F94" s="28" t="s">
        <v>499</v>
      </c>
      <c r="G94" s="29">
        <v>200000</v>
      </c>
      <c r="H94" s="178"/>
      <c r="I94" s="238">
        <f t="shared" si="1"/>
        <v>200000</v>
      </c>
    </row>
    <row r="95" spans="1:9" s="1" customFormat="1" ht="15" thickBot="1" x14ac:dyDescent="0.4">
      <c r="A95" s="82">
        <v>86</v>
      </c>
      <c r="B95" s="341"/>
      <c r="C95" s="108">
        <v>43420</v>
      </c>
      <c r="D95" s="26">
        <v>900996982</v>
      </c>
      <c r="E95" s="27" t="str">
        <f>VLOOKUP(D95,[1]TERCEROS!$A$2:$C$4000,3,FALSE)</f>
        <v>MUNDIAL DE PLACAS Y GRABADOS SAS</v>
      </c>
      <c r="F95" s="28" t="s">
        <v>500</v>
      </c>
      <c r="G95" s="29">
        <v>217640</v>
      </c>
      <c r="H95" s="178"/>
      <c r="I95" s="238">
        <f t="shared" si="1"/>
        <v>217640</v>
      </c>
    </row>
    <row r="96" spans="1:9" s="1" customFormat="1" ht="15" thickBot="1" x14ac:dyDescent="0.4">
      <c r="A96" s="82">
        <v>87</v>
      </c>
      <c r="B96" s="346"/>
      <c r="C96" s="108">
        <v>43420</v>
      </c>
      <c r="D96" s="26">
        <v>17146359</v>
      </c>
      <c r="E96" s="27" t="str">
        <f>VLOOKUP(D96,[1]TERCEROS!$A$2:$C$4000,3,FALSE)</f>
        <v>CARLOS ALBERTO HUERTAS</v>
      </c>
      <c r="F96" s="28" t="s">
        <v>501</v>
      </c>
      <c r="G96" s="29">
        <v>200000</v>
      </c>
      <c r="H96" s="178"/>
      <c r="I96" s="238">
        <f t="shared" si="1"/>
        <v>200000</v>
      </c>
    </row>
    <row r="97" spans="1:37" s="2" customFormat="1" ht="15.75" customHeight="1" thickBot="1" x14ac:dyDescent="0.4">
      <c r="A97" s="327" t="s">
        <v>506</v>
      </c>
      <c r="B97" s="328"/>
      <c r="C97" s="329"/>
      <c r="D97" s="329"/>
      <c r="E97" s="330"/>
      <c r="F97" s="93" t="s">
        <v>24</v>
      </c>
      <c r="G97" s="94">
        <f>SUM(G10:G96)</f>
        <v>2822449</v>
      </c>
      <c r="H97" s="94">
        <f>SUM(H10:H96)</f>
        <v>92506.25</v>
      </c>
      <c r="I97" s="94">
        <f>SUM(I10:I96)</f>
        <v>2914955.31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s="2" customFormat="1" ht="15" customHeight="1" x14ac:dyDescent="0.35">
      <c r="A98" s="300" t="s">
        <v>26</v>
      </c>
      <c r="B98" s="301"/>
      <c r="C98" s="301"/>
      <c r="D98" s="306" t="s">
        <v>58</v>
      </c>
      <c r="E98" s="307"/>
      <c r="F98" s="312"/>
      <c r="G98" s="315" t="s">
        <v>16</v>
      </c>
      <c r="H98" s="316"/>
      <c r="I98" s="35">
        <v>3000000</v>
      </c>
      <c r="J98" s="1"/>
      <c r="K98" s="1"/>
      <c r="L98" s="1"/>
      <c r="M98" s="21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s="2" customFormat="1" ht="15" customHeight="1" x14ac:dyDescent="0.35">
      <c r="A99" s="302"/>
      <c r="B99" s="303"/>
      <c r="C99" s="303"/>
      <c r="D99" s="308"/>
      <c r="E99" s="309"/>
      <c r="F99" s="313"/>
      <c r="G99" s="317" t="s">
        <v>17</v>
      </c>
      <c r="H99" s="318"/>
      <c r="I99" s="36">
        <f>+I98-I97</f>
        <v>85044.689999999944</v>
      </c>
      <c r="J99" s="1"/>
      <c r="K99" s="1"/>
      <c r="L99" s="1"/>
      <c r="M99" s="21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s="1" customFormat="1" ht="15.75" customHeight="1" thickBot="1" x14ac:dyDescent="0.4">
      <c r="A100" s="304"/>
      <c r="B100" s="305"/>
      <c r="C100" s="305"/>
      <c r="D100" s="310"/>
      <c r="E100" s="311"/>
      <c r="F100" s="314"/>
      <c r="G100" s="289" t="s">
        <v>5</v>
      </c>
      <c r="H100" s="290"/>
      <c r="I100" s="37">
        <f>+I98-I99</f>
        <v>2914955.31</v>
      </c>
    </row>
    <row r="101" spans="1:37" s="1" customFormat="1" ht="15" thickBot="1" x14ac:dyDescent="0.4">
      <c r="A101" s="291" t="s">
        <v>25</v>
      </c>
      <c r="B101" s="292"/>
      <c r="C101" s="292"/>
      <c r="D101" s="293"/>
      <c r="E101" s="38"/>
      <c r="F101" s="38"/>
      <c r="G101" s="38"/>
      <c r="H101" s="38"/>
      <c r="I101" s="39"/>
    </row>
    <row r="102" spans="1:37" s="1" customFormat="1" ht="15" thickBot="1" x14ac:dyDescent="0.4">
      <c r="A102" s="40"/>
      <c r="B102" s="41" t="s">
        <v>6</v>
      </c>
      <c r="C102" s="42">
        <f>D118</f>
        <v>0</v>
      </c>
      <c r="D102" s="39"/>
      <c r="E102" s="43">
        <f>C102+C105+I97</f>
        <v>2999955.31</v>
      </c>
      <c r="F102" s="43"/>
      <c r="G102" s="38"/>
      <c r="H102" s="38"/>
      <c r="I102" s="44"/>
    </row>
    <row r="103" spans="1:37" s="1" customFormat="1" ht="15" thickBot="1" x14ac:dyDescent="0.4">
      <c r="A103" s="40"/>
      <c r="B103" s="41" t="s">
        <v>441</v>
      </c>
      <c r="C103" s="45"/>
      <c r="D103" s="39"/>
      <c r="E103" s="43">
        <f>+E102-I98</f>
        <v>-44.689999999944121</v>
      </c>
      <c r="F103" s="38"/>
      <c r="G103" s="38"/>
      <c r="H103" s="38"/>
      <c r="I103" s="39"/>
    </row>
    <row r="104" spans="1:37" s="1" customFormat="1" ht="15" thickBot="1" x14ac:dyDescent="0.4">
      <c r="A104" s="40"/>
      <c r="B104" s="46" t="s">
        <v>309</v>
      </c>
      <c r="C104" s="45">
        <v>85000</v>
      </c>
      <c r="D104" s="39"/>
      <c r="E104" s="43"/>
      <c r="F104" s="38"/>
      <c r="G104" s="38"/>
      <c r="H104" s="38"/>
      <c r="I104" s="39"/>
    </row>
    <row r="105" spans="1:37" s="1" customFormat="1" ht="15" thickBot="1" x14ac:dyDescent="0.4">
      <c r="A105" s="40"/>
      <c r="B105" s="47" t="s">
        <v>7</v>
      </c>
      <c r="C105" s="45">
        <f>SUM(C103:C104)</f>
        <v>85000</v>
      </c>
      <c r="D105" s="39"/>
      <c r="E105" s="48"/>
      <c r="F105" s="48"/>
      <c r="G105" s="48"/>
      <c r="H105" s="48"/>
      <c r="I105" s="49"/>
    </row>
    <row r="106" spans="1:37" s="1" customFormat="1" ht="15" thickBot="1" x14ac:dyDescent="0.4">
      <c r="A106" s="40"/>
      <c r="B106" s="50"/>
      <c r="C106" s="51"/>
      <c r="D106" s="39"/>
      <c r="E106" s="48"/>
      <c r="F106" s="48"/>
      <c r="G106" s="48"/>
      <c r="H106" s="48"/>
      <c r="I106" s="49"/>
    </row>
    <row r="107" spans="1:37" s="1" customFormat="1" ht="15" thickBot="1" x14ac:dyDescent="0.4">
      <c r="A107" s="40"/>
      <c r="B107" s="52"/>
      <c r="C107" s="53" t="s">
        <v>11</v>
      </c>
      <c r="D107" s="54" t="s">
        <v>4</v>
      </c>
      <c r="E107" s="38"/>
      <c r="F107" s="55"/>
      <c r="G107" s="38"/>
      <c r="H107" s="38"/>
      <c r="I107" s="39"/>
    </row>
    <row r="108" spans="1:37" s="1" customFormat="1" ht="14.5" x14ac:dyDescent="0.35">
      <c r="A108" s="40"/>
      <c r="B108" s="56"/>
      <c r="C108" s="57">
        <v>50000</v>
      </c>
      <c r="D108" s="58">
        <f t="shared" ref="D108:D117" si="2">+C108*B108</f>
        <v>0</v>
      </c>
      <c r="E108" s="248" t="s">
        <v>29</v>
      </c>
      <c r="F108" s="60" t="s">
        <v>27</v>
      </c>
      <c r="G108" s="294" t="s">
        <v>28</v>
      </c>
      <c r="H108" s="294"/>
      <c r="I108" s="295"/>
    </row>
    <row r="109" spans="1:37" s="5" customFormat="1" ht="15" customHeight="1" x14ac:dyDescent="0.35">
      <c r="A109" s="40"/>
      <c r="B109" s="62"/>
      <c r="C109" s="63">
        <v>20000</v>
      </c>
      <c r="D109" s="58">
        <f t="shared" si="2"/>
        <v>0</v>
      </c>
      <c r="E109" s="246" t="s">
        <v>19</v>
      </c>
      <c r="F109" s="246" t="s">
        <v>20</v>
      </c>
      <c r="G109" s="296" t="s">
        <v>21</v>
      </c>
      <c r="H109" s="296"/>
      <c r="I109" s="29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s="5" customFormat="1" ht="15" customHeight="1" x14ac:dyDescent="0.35">
      <c r="A110" s="40"/>
      <c r="B110" s="62"/>
      <c r="C110" s="63">
        <v>10000</v>
      </c>
      <c r="D110" s="58">
        <f t="shared" si="2"/>
        <v>0</v>
      </c>
      <c r="E110" s="247" t="s">
        <v>79</v>
      </c>
      <c r="F110" s="247" t="s">
        <v>80</v>
      </c>
      <c r="G110" s="298" t="s">
        <v>81</v>
      </c>
      <c r="H110" s="298"/>
      <c r="I110" s="29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s="5" customFormat="1" ht="15" customHeight="1" x14ac:dyDescent="0.35">
      <c r="A111" s="40"/>
      <c r="B111" s="62"/>
      <c r="C111" s="63">
        <v>5000</v>
      </c>
      <c r="D111" s="58">
        <f t="shared" si="2"/>
        <v>0</v>
      </c>
      <c r="E111" s="38" t="s">
        <v>0</v>
      </c>
      <c r="F111" s="38"/>
      <c r="G111" s="38"/>
      <c r="H111" s="38"/>
      <c r="I111" s="3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s="5" customFormat="1" ht="15" customHeight="1" x14ac:dyDescent="0.35">
      <c r="A112" s="40"/>
      <c r="B112" s="62"/>
      <c r="C112" s="63">
        <v>2000</v>
      </c>
      <c r="D112" s="58">
        <f t="shared" si="2"/>
        <v>0</v>
      </c>
      <c r="E112" s="38"/>
      <c r="F112" s="38" t="s">
        <v>8</v>
      </c>
      <c r="G112" s="38"/>
      <c r="H112" s="38"/>
      <c r="I112" s="3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s="5" customFormat="1" ht="15" customHeight="1" x14ac:dyDescent="0.35">
      <c r="A113" s="40"/>
      <c r="B113" s="62"/>
      <c r="C113" s="63">
        <v>1000</v>
      </c>
      <c r="D113" s="58">
        <f t="shared" si="2"/>
        <v>0</v>
      </c>
      <c r="E113" s="38"/>
      <c r="F113" s="38"/>
      <c r="G113" s="38"/>
      <c r="H113" s="38"/>
      <c r="I113" s="3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s="1" customFormat="1" ht="15" customHeight="1" x14ac:dyDescent="0.35">
      <c r="A114" s="40"/>
      <c r="B114" s="62"/>
      <c r="C114" s="63">
        <v>500</v>
      </c>
      <c r="D114" s="58">
        <f t="shared" si="2"/>
        <v>0</v>
      </c>
      <c r="E114" s="38"/>
      <c r="F114" s="38"/>
      <c r="G114" s="38"/>
      <c r="H114" s="38"/>
      <c r="I114" s="39"/>
    </row>
    <row r="115" spans="1:37" s="1" customFormat="1" ht="15" customHeight="1" x14ac:dyDescent="0.35">
      <c r="A115" s="40"/>
      <c r="B115" s="62"/>
      <c r="C115" s="63">
        <v>200</v>
      </c>
      <c r="D115" s="58">
        <f t="shared" si="2"/>
        <v>0</v>
      </c>
      <c r="E115" s="38"/>
      <c r="F115" s="38"/>
      <c r="G115" s="38"/>
      <c r="H115" s="38"/>
      <c r="I115" s="39"/>
    </row>
    <row r="116" spans="1:37" s="1" customFormat="1" ht="15" customHeight="1" x14ac:dyDescent="0.35">
      <c r="A116" s="40"/>
      <c r="B116" s="62"/>
      <c r="C116" s="63">
        <v>100</v>
      </c>
      <c r="D116" s="58">
        <f>+C116*B116</f>
        <v>0</v>
      </c>
      <c r="E116" s="38"/>
      <c r="F116" s="38"/>
      <c r="G116" s="38"/>
      <c r="H116" s="38"/>
      <c r="I116" s="39"/>
    </row>
    <row r="117" spans="1:37" s="5" customFormat="1" ht="15" customHeight="1" thickBot="1" x14ac:dyDescent="0.4">
      <c r="A117" s="40"/>
      <c r="B117" s="68"/>
      <c r="C117" s="69">
        <v>50</v>
      </c>
      <c r="D117" s="58">
        <f t="shared" si="2"/>
        <v>0</v>
      </c>
      <c r="E117" s="38"/>
      <c r="F117" s="38"/>
      <c r="G117" s="38"/>
      <c r="H117" s="38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s="1" customFormat="1" ht="15" customHeight="1" thickBot="1" x14ac:dyDescent="0.4">
      <c r="A118" s="40"/>
      <c r="B118" s="248"/>
      <c r="C118" s="70"/>
      <c r="D118" s="71">
        <f>SUM(D108:D117)</f>
        <v>0</v>
      </c>
      <c r="E118" s="38"/>
      <c r="F118" s="38"/>
      <c r="G118" s="38"/>
      <c r="H118" s="38"/>
      <c r="I118" s="39"/>
    </row>
    <row r="119" spans="1:37" s="5" customFormat="1" ht="15" customHeight="1" thickBot="1" x14ac:dyDescent="0.4">
      <c r="A119" s="72"/>
      <c r="B119" s="73"/>
      <c r="C119" s="74"/>
      <c r="D119" s="75"/>
      <c r="E119" s="76"/>
      <c r="F119" s="76"/>
      <c r="G119" s="76"/>
      <c r="H119" s="76"/>
      <c r="I119" s="7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s="5" customFormat="1" ht="22.5" customHeight="1" x14ac:dyDescent="0.35">
      <c r="A120" s="1"/>
      <c r="B120"/>
      <c r="C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s="3" customFormat="1" ht="22.5" customHeight="1" x14ac:dyDescent="0.35">
      <c r="A121"/>
      <c r="B121"/>
      <c r="C121" s="6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 s="3" customFormat="1" ht="22.5" customHeight="1" x14ac:dyDescent="0.35">
      <c r="A122"/>
      <c r="B122"/>
      <c r="C122" s="6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 s="3" customFormat="1" ht="22.5" customHeight="1" x14ac:dyDescent="0.35">
      <c r="A123"/>
      <c r="B123"/>
      <c r="C123" s="6"/>
      <c r="D123" s="7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</sheetData>
  <autoFilter ref="C9:J105"/>
  <mergeCells count="23">
    <mergeCell ref="A1:B6"/>
    <mergeCell ref="C1:F3"/>
    <mergeCell ref="G1:I2"/>
    <mergeCell ref="G3:I4"/>
    <mergeCell ref="C4:F6"/>
    <mergeCell ref="G5:I6"/>
    <mergeCell ref="A7:B7"/>
    <mergeCell ref="C7:I7"/>
    <mergeCell ref="A8:I8"/>
    <mergeCell ref="A97:E97"/>
    <mergeCell ref="A98:C100"/>
    <mergeCell ref="D98:E100"/>
    <mergeCell ref="F98:F100"/>
    <mergeCell ref="G98:H98"/>
    <mergeCell ref="G99:H99"/>
    <mergeCell ref="G100:H100"/>
    <mergeCell ref="A101:D101"/>
    <mergeCell ref="G108:I108"/>
    <mergeCell ref="G109:I109"/>
    <mergeCell ref="G110:I110"/>
    <mergeCell ref="B11:B88"/>
    <mergeCell ref="B89:B91"/>
    <mergeCell ref="B94:B96"/>
  </mergeCells>
  <pageMargins left="0.7" right="0.7" top="0.75" bottom="0.75" header="0.3" footer="0.3"/>
  <pageSetup scale="4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09"/>
  <sheetViews>
    <sheetView showGridLines="0" topLeftCell="A43" workbookViewId="0">
      <selection activeCell="E31" sqref="E31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43411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60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60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43416</v>
      </c>
      <c r="D10" s="17">
        <v>830054076</v>
      </c>
      <c r="E10" s="18" t="str">
        <f>VLOOKUP(D10,[1]TERCEROS!$A$2:$C$4000,3,FALSE)</f>
        <v>FIDEICOMISOS SOCIEDAD FIDUCIARIA</v>
      </c>
      <c r="F10" s="19" t="s">
        <v>59</v>
      </c>
      <c r="G10" s="20">
        <v>9700</v>
      </c>
      <c r="H10" s="177">
        <v>0</v>
      </c>
      <c r="I10" s="230">
        <f>IF($K$14=1,G10+H10,G10*H10)</f>
        <v>9700</v>
      </c>
    </row>
    <row r="11" spans="1:12" s="1" customFormat="1" ht="15" thickBot="1" x14ac:dyDescent="0.4">
      <c r="A11" s="82">
        <v>2</v>
      </c>
      <c r="B11" s="341" t="s">
        <v>396</v>
      </c>
      <c r="C11" s="108">
        <v>43416</v>
      </c>
      <c r="D11" s="26">
        <v>830054076</v>
      </c>
      <c r="E11" s="27" t="str">
        <f>VLOOKUP(D11,[1]TERCEROS!$A$2:$C$4000,3,FALSE)</f>
        <v>FIDEICOMISOS SOCIEDAD FIDUCIARIA</v>
      </c>
      <c r="F11" s="28" t="s">
        <v>59</v>
      </c>
      <c r="G11" s="29">
        <v>9700</v>
      </c>
      <c r="H11" s="178">
        <v>0</v>
      </c>
      <c r="I11" s="231">
        <f>IF($K$14=1,G11+H11,G11*H11)</f>
        <v>9700</v>
      </c>
    </row>
    <row r="12" spans="1:12" s="1" customFormat="1" ht="15" thickBot="1" x14ac:dyDescent="0.4">
      <c r="A12" s="82">
        <v>3</v>
      </c>
      <c r="B12" s="341"/>
      <c r="C12" s="108">
        <v>43423</v>
      </c>
      <c r="D12" s="26">
        <v>830054076</v>
      </c>
      <c r="E12" s="27" t="str">
        <f>VLOOKUP(D12,[1]TERCEROS!$A$2:$C$4000,3,FALSE)</f>
        <v>FIDEICOMISOS SOCIEDAD FIDUCIARIA</v>
      </c>
      <c r="F12" s="28" t="s">
        <v>59</v>
      </c>
      <c r="G12" s="29">
        <v>9700</v>
      </c>
      <c r="H12" s="178">
        <v>0</v>
      </c>
      <c r="I12" s="231">
        <f t="shared" ref="I12:I80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43423</v>
      </c>
      <c r="D13" s="26">
        <v>830054076</v>
      </c>
      <c r="E13" s="27" t="str">
        <f>VLOOKUP(D13,[1]TERCEROS!$A$2:$C$4000,3,FALSE)</f>
        <v>FIDEICOMISOS SOCIEDAD FIDUCIARIA</v>
      </c>
      <c r="F13" s="28" t="s">
        <v>59</v>
      </c>
      <c r="G13" s="29">
        <v>9700</v>
      </c>
      <c r="H13" s="178">
        <v>0</v>
      </c>
      <c r="I13" s="231">
        <f t="shared" si="0"/>
        <v>9700</v>
      </c>
    </row>
    <row r="14" spans="1:12" s="1" customFormat="1" ht="15" thickBot="1" x14ac:dyDescent="0.4">
      <c r="A14" s="82">
        <v>5</v>
      </c>
      <c r="B14" s="341"/>
      <c r="C14" s="108">
        <v>43418</v>
      </c>
      <c r="D14" s="26">
        <v>830054076</v>
      </c>
      <c r="E14" s="27" t="str">
        <f>VLOOKUP(D14,[1]TERCEROS!$A$2:$C$4000,3,FALSE)</f>
        <v>FIDEICOMISOS SOCIEDAD FIDUCIARIA</v>
      </c>
      <c r="F14" s="28" t="s">
        <v>59</v>
      </c>
      <c r="G14" s="29">
        <v>9700</v>
      </c>
      <c r="H14" s="178">
        <v>0</v>
      </c>
      <c r="I14" s="231">
        <f t="shared" si="0"/>
        <v>9700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43413</v>
      </c>
      <c r="D15" s="26">
        <v>830054076</v>
      </c>
      <c r="E15" s="27" t="str">
        <f>VLOOKUP(D15,[1]TERCEROS!$A$2:$C$4000,3,FALSE)</f>
        <v>FIDEICOMISOS SOCIEDAD FIDUCIARIA</v>
      </c>
      <c r="F15" s="28" t="s">
        <v>59</v>
      </c>
      <c r="G15" s="29">
        <v>9700</v>
      </c>
      <c r="H15" s="178">
        <v>0</v>
      </c>
      <c r="I15" s="2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43424</v>
      </c>
      <c r="D16" s="26">
        <v>830054076</v>
      </c>
      <c r="E16" s="27" t="str">
        <f>VLOOKUP(D16,[1]TERCEROS!$A$2:$C$4000,3,FALSE)</f>
        <v>FIDEICOMISOS SOCIEDAD FIDUCIARIA</v>
      </c>
      <c r="F16" s="28" t="s">
        <v>59</v>
      </c>
      <c r="G16" s="29">
        <v>9700</v>
      </c>
      <c r="H16" s="178">
        <v>0</v>
      </c>
      <c r="I16" s="231">
        <f t="shared" si="0"/>
        <v>9700</v>
      </c>
    </row>
    <row r="17" spans="1:9" s="1" customFormat="1" ht="15" thickBot="1" x14ac:dyDescent="0.4">
      <c r="A17" s="82">
        <v>8</v>
      </c>
      <c r="B17" s="341"/>
      <c r="C17" s="108">
        <v>43424</v>
      </c>
      <c r="D17" s="26">
        <v>830054076</v>
      </c>
      <c r="E17" s="27" t="str">
        <f>VLOOKUP(D17,[1]TERCEROS!$A$2:$C$4000,3,FALSE)</f>
        <v>FIDEICOMISOS SOCIEDAD FIDUCIARIA</v>
      </c>
      <c r="F17" s="28" t="s">
        <v>59</v>
      </c>
      <c r="G17" s="29">
        <v>9700</v>
      </c>
      <c r="H17" s="178">
        <v>0</v>
      </c>
      <c r="I17" s="231">
        <f t="shared" si="0"/>
        <v>9700</v>
      </c>
    </row>
    <row r="18" spans="1:9" s="1" customFormat="1" ht="15" thickBot="1" x14ac:dyDescent="0.4">
      <c r="A18" s="82">
        <v>9</v>
      </c>
      <c r="B18" s="341"/>
      <c r="C18" s="108">
        <v>43425</v>
      </c>
      <c r="D18" s="26">
        <v>830054076</v>
      </c>
      <c r="E18" s="27" t="str">
        <f>VLOOKUP(D18,[1]TERCEROS!$A$2:$C$4000,3,FALSE)</f>
        <v>FIDEICOMISOS SOCIEDAD FIDUCIARIA</v>
      </c>
      <c r="F18" s="28" t="s">
        <v>59</v>
      </c>
      <c r="G18" s="29">
        <v>9700</v>
      </c>
      <c r="H18" s="178">
        <v>0</v>
      </c>
      <c r="I18" s="231">
        <f t="shared" si="0"/>
        <v>9700</v>
      </c>
    </row>
    <row r="19" spans="1:9" s="1" customFormat="1" ht="15" thickBot="1" x14ac:dyDescent="0.4">
      <c r="A19" s="82">
        <v>10</v>
      </c>
      <c r="B19" s="341"/>
      <c r="C19" s="108">
        <v>43424</v>
      </c>
      <c r="D19" s="26">
        <v>830054076</v>
      </c>
      <c r="E19" s="27" t="str">
        <f>VLOOKUP(D19,[1]TERCEROS!$A$2:$C$4000,3,FALSE)</f>
        <v>FIDEICOMISOS SOCIEDAD FIDUCIARIA</v>
      </c>
      <c r="F19" s="28" t="s">
        <v>59</v>
      </c>
      <c r="G19" s="29">
        <v>9700</v>
      </c>
      <c r="H19" s="178">
        <v>0</v>
      </c>
      <c r="I19" s="231">
        <f t="shared" si="0"/>
        <v>9700</v>
      </c>
    </row>
    <row r="20" spans="1:9" s="1" customFormat="1" ht="15" thickBot="1" x14ac:dyDescent="0.4">
      <c r="A20" s="82">
        <v>11</v>
      </c>
      <c r="B20" s="341"/>
      <c r="C20" s="108">
        <v>43423</v>
      </c>
      <c r="D20" s="26">
        <v>830054076</v>
      </c>
      <c r="E20" s="27" t="str">
        <f>VLOOKUP(D20,[1]TERCEROS!$A$2:$C$4000,3,FALSE)</f>
        <v>FIDEICOMISOS SOCIEDAD FIDUCIARIA</v>
      </c>
      <c r="F20" s="28" t="s">
        <v>59</v>
      </c>
      <c r="G20" s="29">
        <v>9700</v>
      </c>
      <c r="H20" s="178">
        <v>0</v>
      </c>
      <c r="I20" s="2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43424</v>
      </c>
      <c r="D21" s="26">
        <v>830054076</v>
      </c>
      <c r="E21" s="27" t="str">
        <f>VLOOKUP(D21,[1]TERCEROS!$A$2:$C$4000,3,FALSE)</f>
        <v>FIDEICOMISOS SOCIEDAD FIDUCIARIA</v>
      </c>
      <c r="F21" s="28" t="s">
        <v>59</v>
      </c>
      <c r="G21" s="29">
        <v>9700</v>
      </c>
      <c r="H21" s="178">
        <v>0</v>
      </c>
      <c r="I21" s="231">
        <f t="shared" si="0"/>
        <v>9700</v>
      </c>
    </row>
    <row r="22" spans="1:9" s="1" customFormat="1" ht="15" thickBot="1" x14ac:dyDescent="0.4">
      <c r="A22" s="82">
        <v>13</v>
      </c>
      <c r="B22" s="341"/>
      <c r="C22" s="108">
        <v>43420</v>
      </c>
      <c r="D22" s="26">
        <v>830054076</v>
      </c>
      <c r="E22" s="27" t="str">
        <f>VLOOKUP(D22,[1]TERCEROS!$A$2:$C$4000,3,FALSE)</f>
        <v>FIDEICOMISOS SOCIEDAD FIDUCIARIA</v>
      </c>
      <c r="F22" s="28" t="s">
        <v>59</v>
      </c>
      <c r="G22" s="29">
        <v>9700</v>
      </c>
      <c r="H22" s="178">
        <v>0</v>
      </c>
      <c r="I22" s="231">
        <f t="shared" si="0"/>
        <v>9700</v>
      </c>
    </row>
    <row r="23" spans="1:9" s="1" customFormat="1" ht="15" thickBot="1" x14ac:dyDescent="0.4">
      <c r="A23" s="82">
        <v>14</v>
      </c>
      <c r="B23" s="341"/>
      <c r="C23" s="108">
        <v>43418</v>
      </c>
      <c r="D23" s="26">
        <v>830054076</v>
      </c>
      <c r="E23" s="27" t="str">
        <f>VLOOKUP(D23,[1]TERCEROS!$A$2:$C$4000,3,FALSE)</f>
        <v>FIDEICOMISOS SOCIEDAD FIDUCIARIA</v>
      </c>
      <c r="F23" s="28" t="s">
        <v>59</v>
      </c>
      <c r="G23" s="29">
        <v>9700</v>
      </c>
      <c r="H23" s="178">
        <v>0</v>
      </c>
      <c r="I23" s="231">
        <f t="shared" si="0"/>
        <v>9700</v>
      </c>
    </row>
    <row r="24" spans="1:9" s="1" customFormat="1" ht="15" thickBot="1" x14ac:dyDescent="0.4">
      <c r="A24" s="82">
        <v>15</v>
      </c>
      <c r="B24" s="341"/>
      <c r="C24" s="108">
        <v>43430</v>
      </c>
      <c r="D24" s="26">
        <v>830054076</v>
      </c>
      <c r="E24" s="27" t="str">
        <f>VLOOKUP(D24,[1]TERCEROS!$A$2:$C$4000,3,FALSE)</f>
        <v>FIDEICOMISOS SOCIEDAD FIDUCIARIA</v>
      </c>
      <c r="F24" s="28" t="s">
        <v>59</v>
      </c>
      <c r="G24" s="29">
        <v>9700</v>
      </c>
      <c r="H24" s="178">
        <v>0</v>
      </c>
      <c r="I24" s="231">
        <f t="shared" si="0"/>
        <v>9700</v>
      </c>
    </row>
    <row r="25" spans="1:9" s="1" customFormat="1" ht="15" thickBot="1" x14ac:dyDescent="0.4">
      <c r="A25" s="82">
        <v>16</v>
      </c>
      <c r="B25" s="341"/>
      <c r="C25" s="108">
        <v>43417</v>
      </c>
      <c r="D25" s="26">
        <v>830054076</v>
      </c>
      <c r="E25" s="27" t="str">
        <f>VLOOKUP(D25,[1]TERCEROS!$A$2:$C$4000,3,FALSE)</f>
        <v>FIDEICOMISOS SOCIEDAD FIDUCIARIA</v>
      </c>
      <c r="F25" s="28" t="s">
        <v>59</v>
      </c>
      <c r="G25" s="29">
        <v>9700</v>
      </c>
      <c r="H25" s="178">
        <v>0</v>
      </c>
      <c r="I25" s="231">
        <f t="shared" si="0"/>
        <v>9700</v>
      </c>
    </row>
    <row r="26" spans="1:9" s="1" customFormat="1" ht="15" thickBot="1" x14ac:dyDescent="0.4">
      <c r="A26" s="82">
        <v>17</v>
      </c>
      <c r="B26" s="341"/>
      <c r="C26" s="108">
        <v>43427</v>
      </c>
      <c r="D26" s="26">
        <v>830054076</v>
      </c>
      <c r="E26" s="27" t="str">
        <f>VLOOKUP(D26,[1]TERCEROS!$A$2:$C$4000,3,FALSE)</f>
        <v>FIDEICOMISOS SOCIEDAD FIDUCIARIA</v>
      </c>
      <c r="F26" s="28" t="s">
        <v>59</v>
      </c>
      <c r="G26" s="29">
        <v>9700</v>
      </c>
      <c r="H26" s="178">
        <v>0</v>
      </c>
      <c r="I26" s="231">
        <f t="shared" si="0"/>
        <v>9700</v>
      </c>
    </row>
    <row r="27" spans="1:9" s="1" customFormat="1" ht="15" thickBot="1" x14ac:dyDescent="0.4">
      <c r="A27" s="82">
        <v>18</v>
      </c>
      <c r="B27" s="341"/>
      <c r="C27" s="108">
        <v>43427</v>
      </c>
      <c r="D27" s="26">
        <v>830054076</v>
      </c>
      <c r="E27" s="27" t="str">
        <f>VLOOKUP(D27,[1]TERCEROS!$A$2:$C$4000,3,FALSE)</f>
        <v>FIDEICOMISOS SOCIEDAD FIDUCIARIA</v>
      </c>
      <c r="F27" s="28" t="s">
        <v>59</v>
      </c>
      <c r="G27" s="29">
        <v>9700</v>
      </c>
      <c r="H27" s="178">
        <v>0</v>
      </c>
      <c r="I27" s="231">
        <f t="shared" si="0"/>
        <v>9700</v>
      </c>
    </row>
    <row r="28" spans="1:9" s="1" customFormat="1" ht="15" thickBot="1" x14ac:dyDescent="0.4">
      <c r="A28" s="82">
        <v>19</v>
      </c>
      <c r="B28" s="341"/>
      <c r="C28" s="108">
        <v>43421</v>
      </c>
      <c r="D28" s="26">
        <v>900491889</v>
      </c>
      <c r="E28" s="27" t="str">
        <f>VLOOKUP(D28,[1]TERCEROS!$A$2:$C$4000,3,FALSE)</f>
        <v>EDS TERMINAL NEIVA</v>
      </c>
      <c r="F28" s="28" t="s">
        <v>272</v>
      </c>
      <c r="G28" s="29">
        <v>23300</v>
      </c>
      <c r="H28" s="178">
        <v>0</v>
      </c>
      <c r="I28" s="231">
        <f t="shared" si="0"/>
        <v>23300</v>
      </c>
    </row>
    <row r="29" spans="1:9" s="1" customFormat="1" ht="15" thickBot="1" x14ac:dyDescent="0.4">
      <c r="A29" s="82">
        <v>20</v>
      </c>
      <c r="B29" s="341"/>
      <c r="C29" s="108">
        <v>43424</v>
      </c>
      <c r="D29" s="26">
        <v>70813624</v>
      </c>
      <c r="E29" s="27" t="str">
        <f>VLOOKUP(D29,[1]TERCEROS!$A$2:$C$4000,3,FALSE)</f>
        <v xml:space="preserve">RESTAURANTE SAN CHORIZO </v>
      </c>
      <c r="F29" s="28" t="s">
        <v>272</v>
      </c>
      <c r="G29" s="29">
        <v>51000</v>
      </c>
      <c r="H29" s="178">
        <v>0</v>
      </c>
      <c r="I29" s="231">
        <f t="shared" si="0"/>
        <v>51000</v>
      </c>
    </row>
    <row r="30" spans="1:9" s="1" customFormat="1" ht="15" thickBot="1" x14ac:dyDescent="0.4">
      <c r="A30" s="82">
        <v>21</v>
      </c>
      <c r="B30" s="341"/>
      <c r="C30" s="108">
        <v>43432</v>
      </c>
      <c r="D30" s="26">
        <v>901122122</v>
      </c>
      <c r="E30" s="27" t="s">
        <v>522</v>
      </c>
      <c r="F30" s="28" t="s">
        <v>523</v>
      </c>
      <c r="G30" s="29">
        <v>504</v>
      </c>
      <c r="H30" s="178">
        <f>+G30*19%</f>
        <v>95.76</v>
      </c>
      <c r="I30" s="231">
        <f t="shared" si="0"/>
        <v>599.76</v>
      </c>
    </row>
    <row r="31" spans="1:9" s="1" customFormat="1" ht="15" thickBot="1" x14ac:dyDescent="0.4">
      <c r="A31" s="82">
        <v>22</v>
      </c>
      <c r="B31" s="341"/>
      <c r="C31" s="108">
        <v>43423</v>
      </c>
      <c r="D31" s="26">
        <v>830054076</v>
      </c>
      <c r="E31" s="27" t="str">
        <f>VLOOKUP(D31,[1]TERCEROS!$A$2:$C$4000,3,FALSE)</f>
        <v>FIDEICOMISOS SOCIEDAD FIDUCIARIA</v>
      </c>
      <c r="F31" s="28" t="s">
        <v>59</v>
      </c>
      <c r="G31" s="29">
        <v>9700</v>
      </c>
      <c r="H31" s="178">
        <v>0</v>
      </c>
      <c r="I31" s="231">
        <f t="shared" si="0"/>
        <v>9700</v>
      </c>
    </row>
    <row r="32" spans="1:9" s="1" customFormat="1" ht="15" thickBot="1" x14ac:dyDescent="0.4">
      <c r="A32" s="82">
        <v>23</v>
      </c>
      <c r="B32" s="341"/>
      <c r="C32" s="108">
        <v>43420</v>
      </c>
      <c r="D32" s="26">
        <v>830054076</v>
      </c>
      <c r="E32" s="27" t="str">
        <f>VLOOKUP(D32,[1]TERCEROS!$A$2:$C$4000,3,FALSE)</f>
        <v>FIDEICOMISOS SOCIEDAD FIDUCIARIA</v>
      </c>
      <c r="F32" s="28" t="s">
        <v>59</v>
      </c>
      <c r="G32" s="29">
        <v>9700</v>
      </c>
      <c r="H32" s="178">
        <v>0</v>
      </c>
      <c r="I32" s="231">
        <f t="shared" si="0"/>
        <v>9700</v>
      </c>
    </row>
    <row r="33" spans="1:9" s="1" customFormat="1" ht="15" thickBot="1" x14ac:dyDescent="0.4">
      <c r="A33" s="82">
        <v>24</v>
      </c>
      <c r="B33" s="341"/>
      <c r="C33" s="108">
        <v>43416</v>
      </c>
      <c r="D33" s="26">
        <v>830054076</v>
      </c>
      <c r="E33" s="27" t="str">
        <f>VLOOKUP(D33,[1]TERCEROS!$A$2:$C$4000,3,FALSE)</f>
        <v>FIDEICOMISOS SOCIEDAD FIDUCIARIA</v>
      </c>
      <c r="F33" s="28" t="s">
        <v>59</v>
      </c>
      <c r="G33" s="29">
        <v>9700</v>
      </c>
      <c r="H33" s="178">
        <v>0</v>
      </c>
      <c r="I33" s="231">
        <f t="shared" si="0"/>
        <v>9700</v>
      </c>
    </row>
    <row r="34" spans="1:9" s="1" customFormat="1" ht="15" thickBot="1" x14ac:dyDescent="0.4">
      <c r="A34" s="82">
        <v>25</v>
      </c>
      <c r="B34" s="341"/>
      <c r="C34" s="108">
        <v>43418</v>
      </c>
      <c r="D34" s="26">
        <v>830054076</v>
      </c>
      <c r="E34" s="27" t="str">
        <f>VLOOKUP(D34,[1]TERCEROS!$A$2:$C$4000,3,FALSE)</f>
        <v>FIDEICOMISOS SOCIEDAD FIDUCIARIA</v>
      </c>
      <c r="F34" s="28" t="s">
        <v>59</v>
      </c>
      <c r="G34" s="29">
        <v>9700</v>
      </c>
      <c r="H34" s="178">
        <v>0</v>
      </c>
      <c r="I34" s="231">
        <f t="shared" si="0"/>
        <v>9700</v>
      </c>
    </row>
    <row r="35" spans="1:9" s="1" customFormat="1" ht="15" thickBot="1" x14ac:dyDescent="0.4">
      <c r="A35" s="82">
        <v>26</v>
      </c>
      <c r="B35" s="341"/>
      <c r="C35" s="108">
        <v>43416</v>
      </c>
      <c r="D35" s="26">
        <v>830054076</v>
      </c>
      <c r="E35" s="27" t="str">
        <f>VLOOKUP(D35,[1]TERCEROS!$A$2:$C$4000,3,FALSE)</f>
        <v>FIDEICOMISOS SOCIEDAD FIDUCIARIA</v>
      </c>
      <c r="F35" s="28" t="s">
        <v>59</v>
      </c>
      <c r="G35" s="29">
        <v>9700</v>
      </c>
      <c r="H35" s="178">
        <v>0</v>
      </c>
      <c r="I35" s="231">
        <f t="shared" si="0"/>
        <v>9700</v>
      </c>
    </row>
    <row r="36" spans="1:9" s="1" customFormat="1" ht="15" thickBot="1" x14ac:dyDescent="0.4">
      <c r="A36" s="82">
        <v>27</v>
      </c>
      <c r="B36" s="341"/>
      <c r="C36" s="108">
        <v>43421</v>
      </c>
      <c r="D36" s="26">
        <v>900491889</v>
      </c>
      <c r="E36" s="27" t="str">
        <f>VLOOKUP(D36,[1]TERCEROS!$A$2:$C$4000,3,FALSE)</f>
        <v>EDS TERMINAL NEIVA</v>
      </c>
      <c r="F36" s="28" t="s">
        <v>272</v>
      </c>
      <c r="G36" s="29">
        <v>35800</v>
      </c>
      <c r="H36" s="178">
        <v>0</v>
      </c>
      <c r="I36" s="231">
        <f t="shared" si="0"/>
        <v>35800</v>
      </c>
    </row>
    <row r="37" spans="1:9" s="1" customFormat="1" ht="15" thickBot="1" x14ac:dyDescent="0.4">
      <c r="A37" s="82">
        <v>28</v>
      </c>
      <c r="B37" s="341"/>
      <c r="C37" s="108">
        <v>43430</v>
      </c>
      <c r="D37" s="26">
        <v>11442335</v>
      </c>
      <c r="E37" s="27" t="s">
        <v>524</v>
      </c>
      <c r="F37" s="28" t="s">
        <v>272</v>
      </c>
      <c r="G37" s="29">
        <v>20000</v>
      </c>
      <c r="H37" s="178">
        <v>0</v>
      </c>
      <c r="I37" s="231">
        <f t="shared" si="0"/>
        <v>20000</v>
      </c>
    </row>
    <row r="38" spans="1:9" s="1" customFormat="1" ht="15" thickBot="1" x14ac:dyDescent="0.4">
      <c r="A38" s="82">
        <v>29</v>
      </c>
      <c r="B38" s="341"/>
      <c r="C38" s="108">
        <v>43423</v>
      </c>
      <c r="D38" s="26">
        <v>80819871</v>
      </c>
      <c r="E38" s="27" t="str">
        <f>VLOOKUP(D38,[1]TERCEROS!$A$2:$C$4000,3,FALSE)</f>
        <v>DIAZ CARDENAS LUIS GABRIEL</v>
      </c>
      <c r="F38" s="28" t="s">
        <v>48</v>
      </c>
      <c r="G38" s="29">
        <v>21600</v>
      </c>
      <c r="H38" s="178">
        <v>0</v>
      </c>
      <c r="I38" s="231">
        <f t="shared" si="0"/>
        <v>21600</v>
      </c>
    </row>
    <row r="39" spans="1:9" s="1" customFormat="1" ht="15" thickBot="1" x14ac:dyDescent="0.4">
      <c r="A39" s="82">
        <v>30</v>
      </c>
      <c r="B39" s="341"/>
      <c r="C39" s="108">
        <v>43414</v>
      </c>
      <c r="D39" s="26">
        <v>900534711</v>
      </c>
      <c r="E39" s="27" t="str">
        <f>VLOOKUP(D39,[1]TERCEROS!$A$2:$C$4000,3,FALSE)</f>
        <v>TITAN PLAZA CN COMERCIAL</v>
      </c>
      <c r="F39" s="28" t="s">
        <v>523</v>
      </c>
      <c r="G39" s="29">
        <v>11176</v>
      </c>
      <c r="H39" s="178">
        <v>2124</v>
      </c>
      <c r="I39" s="231">
        <f t="shared" si="0"/>
        <v>13300</v>
      </c>
    </row>
    <row r="40" spans="1:9" s="1" customFormat="1" ht="15" thickBot="1" x14ac:dyDescent="0.4">
      <c r="A40" s="82">
        <v>31</v>
      </c>
      <c r="B40" s="341"/>
      <c r="C40" s="108">
        <v>43416</v>
      </c>
      <c r="D40" s="26">
        <v>900491889</v>
      </c>
      <c r="E40" s="27" t="str">
        <f>VLOOKUP(D40,[1]TERCEROS!$A$2:$C$4000,3,FALSE)</f>
        <v>EDS TERMINAL NEIVA</v>
      </c>
      <c r="F40" s="28" t="s">
        <v>272</v>
      </c>
      <c r="G40" s="29">
        <v>4000</v>
      </c>
      <c r="H40" s="178">
        <v>0</v>
      </c>
      <c r="I40" s="231">
        <f t="shared" si="0"/>
        <v>4000</v>
      </c>
    </row>
    <row r="41" spans="1:9" s="1" customFormat="1" ht="15" thickBot="1" x14ac:dyDescent="0.4">
      <c r="A41" s="82">
        <v>32</v>
      </c>
      <c r="B41" s="341"/>
      <c r="C41" s="108">
        <v>43424</v>
      </c>
      <c r="D41" s="26">
        <v>900491889</v>
      </c>
      <c r="E41" s="27" t="str">
        <f>VLOOKUP(D41,[1]TERCEROS!$A$2:$C$4000,3,FALSE)</f>
        <v>EDS TERMINAL NEIVA</v>
      </c>
      <c r="F41" s="28" t="s">
        <v>272</v>
      </c>
      <c r="G41" s="29">
        <v>5800</v>
      </c>
      <c r="H41" s="178">
        <v>0</v>
      </c>
      <c r="I41" s="231">
        <f t="shared" si="0"/>
        <v>5800</v>
      </c>
    </row>
    <row r="42" spans="1:9" s="1" customFormat="1" ht="15" thickBot="1" x14ac:dyDescent="0.4">
      <c r="A42" s="82">
        <v>33</v>
      </c>
      <c r="B42" s="341"/>
      <c r="C42" s="132">
        <v>43423</v>
      </c>
      <c r="D42" s="91">
        <v>22222222</v>
      </c>
      <c r="E42" s="92" t="s">
        <v>525</v>
      </c>
      <c r="F42" s="86" t="s">
        <v>526</v>
      </c>
      <c r="G42" s="87">
        <v>51000</v>
      </c>
      <c r="H42" s="180">
        <v>0</v>
      </c>
      <c r="I42" s="239">
        <f t="shared" si="0"/>
        <v>51000</v>
      </c>
    </row>
    <row r="43" spans="1:9" s="1" customFormat="1" ht="15" thickBot="1" x14ac:dyDescent="0.4">
      <c r="A43" s="82">
        <v>34</v>
      </c>
      <c r="B43" s="340" t="s">
        <v>84</v>
      </c>
      <c r="C43" s="107">
        <v>43401</v>
      </c>
      <c r="D43" s="17">
        <v>900107637</v>
      </c>
      <c r="E43" s="18" t="s">
        <v>527</v>
      </c>
      <c r="F43" s="19" t="s">
        <v>251</v>
      </c>
      <c r="G43" s="20">
        <v>172700</v>
      </c>
      <c r="H43" s="177">
        <v>0</v>
      </c>
      <c r="I43" s="230">
        <f t="shared" si="0"/>
        <v>172700</v>
      </c>
    </row>
    <row r="44" spans="1:9" s="1" customFormat="1" ht="15" thickBot="1" x14ac:dyDescent="0.4">
      <c r="A44" s="82">
        <v>35</v>
      </c>
      <c r="B44" s="341"/>
      <c r="C44" s="108">
        <v>43377</v>
      </c>
      <c r="D44" s="26">
        <v>1053854112</v>
      </c>
      <c r="E44" s="27" t="s">
        <v>528</v>
      </c>
      <c r="F44" s="28" t="s">
        <v>523</v>
      </c>
      <c r="G44" s="29">
        <v>7000</v>
      </c>
      <c r="H44" s="178">
        <v>0</v>
      </c>
      <c r="I44" s="231">
        <f t="shared" si="0"/>
        <v>7000</v>
      </c>
    </row>
    <row r="45" spans="1:9" s="1" customFormat="1" ht="15" thickBot="1" x14ac:dyDescent="0.4">
      <c r="A45" s="82">
        <v>36</v>
      </c>
      <c r="B45" s="341"/>
      <c r="C45" s="108">
        <v>43385</v>
      </c>
      <c r="D45" s="26">
        <v>79602256</v>
      </c>
      <c r="E45" s="27" t="s">
        <v>529</v>
      </c>
      <c r="F45" s="28" t="s">
        <v>251</v>
      </c>
      <c r="G45" s="29">
        <v>132500</v>
      </c>
      <c r="H45" s="178">
        <v>0</v>
      </c>
      <c r="I45" s="231">
        <f t="shared" si="0"/>
        <v>132500</v>
      </c>
    </row>
    <row r="46" spans="1:9" s="1" customFormat="1" ht="15" thickBot="1" x14ac:dyDescent="0.4">
      <c r="A46" s="82">
        <v>37</v>
      </c>
      <c r="B46" s="346"/>
      <c r="C46" s="109">
        <v>43422</v>
      </c>
      <c r="D46" s="110">
        <v>4047378</v>
      </c>
      <c r="E46" s="111" t="str">
        <f>VLOOKUP(D46,[1]TERCEROS!$A$2:$C$4000,3,FALSE)</f>
        <v>ALVARADO BOHORQUEZ JUAN DE JESUS</v>
      </c>
      <c r="F46" s="112" t="s">
        <v>272</v>
      </c>
      <c r="G46" s="113">
        <v>20000</v>
      </c>
      <c r="H46" s="179">
        <v>0</v>
      </c>
      <c r="I46" s="232">
        <f t="shared" si="0"/>
        <v>20000</v>
      </c>
    </row>
    <row r="47" spans="1:9" s="1" customFormat="1" ht="15" thickBot="1" x14ac:dyDescent="0.4">
      <c r="A47" s="82">
        <v>38</v>
      </c>
      <c r="B47" s="340" t="s">
        <v>396</v>
      </c>
      <c r="C47" s="203">
        <v>43416</v>
      </c>
      <c r="D47" s="120">
        <v>222222222</v>
      </c>
      <c r="E47" s="121" t="str">
        <f>VLOOKUP(D47,[1]TERCEROS!$A$2:$C$4000,3,FALSE)</f>
        <v>CUANTIAS MINIMAS</v>
      </c>
      <c r="F47" s="122" t="s">
        <v>287</v>
      </c>
      <c r="G47" s="123">
        <v>4300</v>
      </c>
      <c r="H47" s="204">
        <v>0</v>
      </c>
      <c r="I47" s="240">
        <f t="shared" si="0"/>
        <v>4300</v>
      </c>
    </row>
    <row r="48" spans="1:9" s="1" customFormat="1" ht="15" thickBot="1" x14ac:dyDescent="0.4">
      <c r="A48" s="82">
        <v>39</v>
      </c>
      <c r="B48" s="341"/>
      <c r="C48" s="108">
        <v>43420</v>
      </c>
      <c r="D48" s="26">
        <v>860032095</v>
      </c>
      <c r="E48" s="27" t="str">
        <f>VLOOKUP(D48,[1]TERCEROS!$A$2:$C$4000,3,FALSE)</f>
        <v>PARQUEADEROS YA LTDA</v>
      </c>
      <c r="F48" s="28" t="s">
        <v>287</v>
      </c>
      <c r="G48" s="29">
        <v>1134</v>
      </c>
      <c r="H48" s="178">
        <v>216</v>
      </c>
      <c r="I48" s="231">
        <f t="shared" si="0"/>
        <v>1350</v>
      </c>
    </row>
    <row r="49" spans="1:12" s="1" customFormat="1" ht="15" thickBot="1" x14ac:dyDescent="0.4">
      <c r="A49" s="82">
        <v>40</v>
      </c>
      <c r="B49" s="341"/>
      <c r="C49" s="108">
        <v>43420</v>
      </c>
      <c r="D49" s="26">
        <v>860503560</v>
      </c>
      <c r="E49" s="27" t="str">
        <f>VLOOKUP(D49,[1]TERCEROS!$A$2:$C$4000,3,FALSE)</f>
        <v>APARCAR LTDA</v>
      </c>
      <c r="F49" s="28" t="s">
        <v>287</v>
      </c>
      <c r="G49" s="29">
        <v>2353</v>
      </c>
      <c r="H49" s="178">
        <v>447</v>
      </c>
      <c r="I49" s="231">
        <f t="shared" si="0"/>
        <v>2800</v>
      </c>
    </row>
    <row r="50" spans="1:12" s="1" customFormat="1" ht="15" thickBot="1" x14ac:dyDescent="0.4">
      <c r="A50" s="82">
        <v>41</v>
      </c>
      <c r="B50" s="341"/>
      <c r="C50" s="108">
        <v>43431</v>
      </c>
      <c r="D50" s="26">
        <v>901122122</v>
      </c>
      <c r="E50" s="27" t="s">
        <v>522</v>
      </c>
      <c r="F50" s="28" t="s">
        <v>287</v>
      </c>
      <c r="G50" s="29">
        <v>672</v>
      </c>
      <c r="H50" s="178">
        <v>128</v>
      </c>
      <c r="I50" s="231">
        <f t="shared" si="0"/>
        <v>800</v>
      </c>
    </row>
    <row r="51" spans="1:12" s="1" customFormat="1" ht="15" thickBot="1" x14ac:dyDescent="0.4">
      <c r="A51" s="82">
        <v>42</v>
      </c>
      <c r="B51" s="341"/>
      <c r="C51" s="108">
        <v>43432</v>
      </c>
      <c r="D51" s="26">
        <v>860032095</v>
      </c>
      <c r="E51" s="27" t="str">
        <f>VLOOKUP(D51,[1]TERCEROS!$A$2:$C$4000,3,FALSE)</f>
        <v>PARQUEADEROS YA LTDA</v>
      </c>
      <c r="F51" s="28" t="s">
        <v>287</v>
      </c>
      <c r="G51" s="29">
        <v>3739</v>
      </c>
      <c r="H51" s="178">
        <v>711</v>
      </c>
      <c r="I51" s="231">
        <f t="shared" si="0"/>
        <v>4450</v>
      </c>
    </row>
    <row r="52" spans="1:12" s="1" customFormat="1" ht="15" thickBot="1" x14ac:dyDescent="0.4">
      <c r="A52" s="82">
        <v>43</v>
      </c>
      <c r="B52" s="341"/>
      <c r="C52" s="108">
        <v>43425</v>
      </c>
      <c r="D52" s="26">
        <v>10142223814</v>
      </c>
      <c r="E52" s="27" t="s">
        <v>478</v>
      </c>
      <c r="F52" s="28" t="s">
        <v>287</v>
      </c>
      <c r="G52" s="29">
        <v>30000</v>
      </c>
      <c r="H52" s="178">
        <v>0</v>
      </c>
      <c r="I52" s="231">
        <f t="shared" si="0"/>
        <v>30000</v>
      </c>
    </row>
    <row r="53" spans="1:12" s="1" customFormat="1" ht="15" thickBot="1" x14ac:dyDescent="0.4">
      <c r="A53" s="82">
        <v>44</v>
      </c>
      <c r="B53" s="341"/>
      <c r="C53" s="108">
        <v>43421</v>
      </c>
      <c r="D53" s="26">
        <v>1039090799</v>
      </c>
      <c r="E53" s="27" t="str">
        <f>VLOOKUP(D53,[1]TERCEROS!$A$2:$C$4000,3,FALSE)</f>
        <v>NISPERUZA ARRIETA YAISLLETH JUDITH</v>
      </c>
      <c r="F53" s="28" t="s">
        <v>48</v>
      </c>
      <c r="G53" s="29">
        <v>150000</v>
      </c>
      <c r="H53" s="178">
        <v>0</v>
      </c>
      <c r="I53" s="231">
        <f t="shared" si="0"/>
        <v>150000</v>
      </c>
    </row>
    <row r="54" spans="1:12" s="1" customFormat="1" ht="15" thickBot="1" x14ac:dyDescent="0.4">
      <c r="A54" s="82">
        <v>45</v>
      </c>
      <c r="B54" s="341"/>
      <c r="C54" s="108">
        <v>43423</v>
      </c>
      <c r="D54" s="26">
        <v>1039090799</v>
      </c>
      <c r="E54" s="27" t="str">
        <f>VLOOKUP(D54,[1]TERCEROS!$A$2:$C$4000,3,FALSE)</f>
        <v>NISPERUZA ARRIETA YAISLLETH JUDITH</v>
      </c>
      <c r="F54" s="28" t="s">
        <v>48</v>
      </c>
      <c r="G54" s="29">
        <v>120000</v>
      </c>
      <c r="H54" s="178">
        <v>0</v>
      </c>
      <c r="I54" s="231">
        <f t="shared" si="0"/>
        <v>120000</v>
      </c>
    </row>
    <row r="55" spans="1:12" s="1" customFormat="1" ht="15" thickBot="1" x14ac:dyDescent="0.4">
      <c r="A55" s="82">
        <v>46</v>
      </c>
      <c r="B55" s="341"/>
      <c r="C55" s="108">
        <v>43433</v>
      </c>
      <c r="D55" s="26">
        <v>860514343</v>
      </c>
      <c r="E55" s="27" t="s">
        <v>530</v>
      </c>
      <c r="F55" s="28" t="s">
        <v>287</v>
      </c>
      <c r="G55" s="29">
        <v>336</v>
      </c>
      <c r="H55" s="178">
        <v>64</v>
      </c>
      <c r="I55" s="231">
        <f t="shared" si="0"/>
        <v>400</v>
      </c>
    </row>
    <row r="56" spans="1:12" s="1" customFormat="1" ht="15" thickBot="1" x14ac:dyDescent="0.4">
      <c r="A56" s="82">
        <v>47</v>
      </c>
      <c r="B56" s="341"/>
      <c r="C56" s="108">
        <v>43433</v>
      </c>
      <c r="D56" s="26">
        <v>1067712921</v>
      </c>
      <c r="E56" s="27" t="s">
        <v>429</v>
      </c>
      <c r="F56" s="28" t="s">
        <v>531</v>
      </c>
      <c r="G56" s="29">
        <v>126050</v>
      </c>
      <c r="H56" s="178">
        <v>23950</v>
      </c>
      <c r="I56" s="231">
        <f t="shared" si="0"/>
        <v>150000</v>
      </c>
    </row>
    <row r="57" spans="1:12" s="1" customFormat="1" ht="15" thickBot="1" x14ac:dyDescent="0.4">
      <c r="A57" s="82">
        <v>48</v>
      </c>
      <c r="B57" s="341"/>
      <c r="C57" s="108">
        <v>43420</v>
      </c>
      <c r="D57" s="26">
        <v>6230340</v>
      </c>
      <c r="E57" s="27" t="str">
        <f>VLOOKUP(D57,[1]TERCEROS!$A$2:$C$4000,3,FALSE)</f>
        <v>PARKING METRO REBECA</v>
      </c>
      <c r="F57" s="28" t="s">
        <v>287</v>
      </c>
      <c r="G57" s="29">
        <v>2700</v>
      </c>
      <c r="H57" s="178">
        <v>0</v>
      </c>
      <c r="I57" s="231">
        <f t="shared" si="0"/>
        <v>2700</v>
      </c>
    </row>
    <row r="58" spans="1:12" s="1" customFormat="1" ht="15" thickBot="1" x14ac:dyDescent="0.4">
      <c r="A58" s="82">
        <v>49</v>
      </c>
      <c r="B58" s="341"/>
      <c r="C58" s="108">
        <v>43430</v>
      </c>
      <c r="D58" s="26">
        <v>222222222</v>
      </c>
      <c r="E58" s="27" t="str">
        <f>VLOOKUP(D58,[1]TERCEROS!$A$2:$C$4000,3,FALSE)</f>
        <v>CUANTIAS MINIMAS</v>
      </c>
      <c r="F58" s="28" t="s">
        <v>287</v>
      </c>
      <c r="G58" s="29">
        <v>3600</v>
      </c>
      <c r="H58" s="178">
        <v>0</v>
      </c>
      <c r="I58" s="231">
        <f t="shared" si="0"/>
        <v>3600</v>
      </c>
    </row>
    <row r="59" spans="1:12" s="1" customFormat="1" ht="15" thickBot="1" x14ac:dyDescent="0.4">
      <c r="A59" s="82">
        <v>50</v>
      </c>
      <c r="B59" s="341"/>
      <c r="C59" s="108">
        <v>43427</v>
      </c>
      <c r="D59" s="26">
        <v>830107120</v>
      </c>
      <c r="E59" s="27" t="s">
        <v>532</v>
      </c>
      <c r="F59" s="28" t="s">
        <v>287</v>
      </c>
      <c r="G59" s="29">
        <v>1471</v>
      </c>
      <c r="H59" s="178">
        <v>279</v>
      </c>
      <c r="I59" s="231">
        <f t="shared" si="0"/>
        <v>1750</v>
      </c>
    </row>
    <row r="60" spans="1:12" s="1" customFormat="1" ht="15" thickBot="1" x14ac:dyDescent="0.4">
      <c r="A60" s="82">
        <v>51</v>
      </c>
      <c r="B60" s="346"/>
      <c r="C60" s="132">
        <v>43430</v>
      </c>
      <c r="D60" s="91">
        <v>79063291</v>
      </c>
      <c r="E60" s="92" t="s">
        <v>533</v>
      </c>
      <c r="F60" s="86" t="s">
        <v>287</v>
      </c>
      <c r="G60" s="87">
        <v>1700</v>
      </c>
      <c r="H60" s="180">
        <v>0</v>
      </c>
      <c r="I60" s="239">
        <f t="shared" si="0"/>
        <v>1700</v>
      </c>
    </row>
    <row r="61" spans="1:12" s="1" customFormat="1" ht="15" thickBot="1" x14ac:dyDescent="0.4">
      <c r="A61" s="82">
        <v>52</v>
      </c>
      <c r="B61" s="340" t="s">
        <v>534</v>
      </c>
      <c r="C61" s="107">
        <v>43425</v>
      </c>
      <c r="D61" s="17">
        <v>900818788</v>
      </c>
      <c r="E61" s="18" t="str">
        <f>VLOOKUP(D61,[1]TERCEROS!$A$2:$C$4000,3,FALSE)</f>
        <v>PINTURAS MATIZ</v>
      </c>
      <c r="F61" s="19" t="s">
        <v>535</v>
      </c>
      <c r="G61" s="20">
        <v>29411</v>
      </c>
      <c r="H61" s="177">
        <v>5589</v>
      </c>
      <c r="I61" s="230">
        <f t="shared" si="0"/>
        <v>35000</v>
      </c>
      <c r="L61" s="210">
        <f>+G61*19%</f>
        <v>5588.09</v>
      </c>
    </row>
    <row r="62" spans="1:12" s="1" customFormat="1" ht="15" thickBot="1" x14ac:dyDescent="0.4">
      <c r="A62" s="82">
        <v>53</v>
      </c>
      <c r="B62" s="341"/>
      <c r="C62" s="108">
        <v>43424</v>
      </c>
      <c r="D62" s="26">
        <v>3617434</v>
      </c>
      <c r="E62" s="27" t="s">
        <v>536</v>
      </c>
      <c r="F62" s="28" t="s">
        <v>537</v>
      </c>
      <c r="G62" s="29">
        <v>31512</v>
      </c>
      <c r="H62" s="178">
        <v>5988</v>
      </c>
      <c r="I62" s="231">
        <f t="shared" si="0"/>
        <v>37500</v>
      </c>
    </row>
    <row r="63" spans="1:12" s="1" customFormat="1" ht="15" thickBot="1" x14ac:dyDescent="0.4">
      <c r="A63" s="82">
        <v>54</v>
      </c>
      <c r="B63" s="341"/>
      <c r="C63" s="108">
        <v>43426</v>
      </c>
      <c r="D63" s="26">
        <v>807487047</v>
      </c>
      <c r="E63" s="27" t="s">
        <v>538</v>
      </c>
      <c r="F63" s="28" t="s">
        <v>539</v>
      </c>
      <c r="G63" s="29">
        <v>16000</v>
      </c>
      <c r="H63" s="178">
        <v>0</v>
      </c>
      <c r="I63" s="231">
        <f t="shared" si="0"/>
        <v>16000</v>
      </c>
    </row>
    <row r="64" spans="1:12" s="1" customFormat="1" ht="15" thickBot="1" x14ac:dyDescent="0.4">
      <c r="A64" s="82">
        <v>55</v>
      </c>
      <c r="B64" s="341"/>
      <c r="C64" s="108">
        <v>43426</v>
      </c>
      <c r="D64" s="26">
        <v>3617464</v>
      </c>
      <c r="E64" s="27" t="s">
        <v>536</v>
      </c>
      <c r="F64" s="28" t="s">
        <v>540</v>
      </c>
      <c r="G64" s="29">
        <v>33613</v>
      </c>
      <c r="H64" s="178">
        <v>6387</v>
      </c>
      <c r="I64" s="231">
        <f t="shared" si="0"/>
        <v>40000</v>
      </c>
    </row>
    <row r="65" spans="1:9" s="1" customFormat="1" ht="15" thickBot="1" x14ac:dyDescent="0.4">
      <c r="A65" s="82">
        <v>56</v>
      </c>
      <c r="B65" s="341"/>
      <c r="C65" s="108">
        <v>43426</v>
      </c>
      <c r="D65" s="26">
        <v>39738702</v>
      </c>
      <c r="E65" s="27" t="s">
        <v>541</v>
      </c>
      <c r="F65" s="28" t="s">
        <v>542</v>
      </c>
      <c r="G65" s="29">
        <v>6722</v>
      </c>
      <c r="H65" s="178">
        <v>1278</v>
      </c>
      <c r="I65" s="231">
        <f t="shared" si="0"/>
        <v>8000</v>
      </c>
    </row>
    <row r="66" spans="1:9" s="1" customFormat="1" ht="15" thickBot="1" x14ac:dyDescent="0.4">
      <c r="A66" s="82">
        <v>57</v>
      </c>
      <c r="B66" s="346"/>
      <c r="C66" s="109">
        <v>43426</v>
      </c>
      <c r="D66" s="110">
        <v>19363184</v>
      </c>
      <c r="E66" s="111" t="s">
        <v>543</v>
      </c>
      <c r="F66" s="112" t="s">
        <v>544</v>
      </c>
      <c r="G66" s="113">
        <v>6000</v>
      </c>
      <c r="H66" s="179">
        <v>1140</v>
      </c>
      <c r="I66" s="232">
        <f t="shared" si="0"/>
        <v>7140</v>
      </c>
    </row>
    <row r="67" spans="1:9" s="1" customFormat="1" ht="15" thickBot="1" x14ac:dyDescent="0.4">
      <c r="A67" s="82">
        <v>58</v>
      </c>
      <c r="B67" s="353" t="s">
        <v>545</v>
      </c>
      <c r="C67" s="203">
        <v>43424</v>
      </c>
      <c r="D67" s="120">
        <v>901026222</v>
      </c>
      <c r="E67" s="121" t="s">
        <v>546</v>
      </c>
      <c r="F67" s="122" t="s">
        <v>547</v>
      </c>
      <c r="G67" s="123">
        <v>29410</v>
      </c>
      <c r="H67" s="204">
        <v>5588</v>
      </c>
      <c r="I67" s="240">
        <f t="shared" si="0"/>
        <v>34998</v>
      </c>
    </row>
    <row r="68" spans="1:9" s="1" customFormat="1" ht="15" thickBot="1" x14ac:dyDescent="0.4">
      <c r="A68" s="82">
        <v>59</v>
      </c>
      <c r="B68" s="354"/>
      <c r="C68" s="132">
        <v>43425</v>
      </c>
      <c r="D68" s="91">
        <v>800003383</v>
      </c>
      <c r="E68" s="92" t="str">
        <f>VLOOKUP(D68,[1]TERCEROS!$A$2:$C$4000,3,FALSE)</f>
        <v>RUEDA GARZON SAS</v>
      </c>
      <c r="F68" s="86" t="s">
        <v>548</v>
      </c>
      <c r="G68" s="87">
        <v>90756</v>
      </c>
      <c r="H68" s="180">
        <v>17244</v>
      </c>
      <c r="I68" s="239">
        <f t="shared" si="0"/>
        <v>108000</v>
      </c>
    </row>
    <row r="69" spans="1:9" s="1" customFormat="1" ht="24.5" thickBot="1" x14ac:dyDescent="0.4">
      <c r="A69" s="82">
        <v>60</v>
      </c>
      <c r="B69" s="151" t="s">
        <v>534</v>
      </c>
      <c r="C69" s="95">
        <v>43424</v>
      </c>
      <c r="D69" s="96">
        <v>830037946</v>
      </c>
      <c r="E69" s="97" t="str">
        <f>VLOOKUP(D69,[1]TERCEROS!$A$2:$C$4000,3,FALSE)</f>
        <v>PANAMERICANA SA</v>
      </c>
      <c r="F69" s="98" t="s">
        <v>549</v>
      </c>
      <c r="G69" s="99">
        <v>30084</v>
      </c>
      <c r="H69" s="201">
        <v>5716</v>
      </c>
      <c r="I69" s="233">
        <f t="shared" si="0"/>
        <v>35800</v>
      </c>
    </row>
    <row r="70" spans="1:9" s="1" customFormat="1" ht="15" thickBot="1" x14ac:dyDescent="0.4">
      <c r="A70" s="82">
        <v>61</v>
      </c>
      <c r="B70" s="353" t="s">
        <v>396</v>
      </c>
      <c r="C70" s="203">
        <v>43424</v>
      </c>
      <c r="D70" s="120">
        <v>830053564</v>
      </c>
      <c r="E70" s="121" t="str">
        <f>VLOOKUP(D70,[1]TERCEROS!$A$2:$C$4000,3,FALSE)</f>
        <v>MANUFACTURAS GONZO SA</v>
      </c>
      <c r="F70" s="122" t="s">
        <v>550</v>
      </c>
      <c r="G70" s="123">
        <v>83950</v>
      </c>
      <c r="H70" s="204">
        <v>15950</v>
      </c>
      <c r="I70" s="240">
        <f t="shared" si="0"/>
        <v>99900</v>
      </c>
    </row>
    <row r="71" spans="1:9" s="1" customFormat="1" ht="15" thickBot="1" x14ac:dyDescent="0.4">
      <c r="A71" s="82">
        <v>62</v>
      </c>
      <c r="B71" s="354"/>
      <c r="C71" s="132">
        <v>43425</v>
      </c>
      <c r="D71" s="91">
        <v>860512330</v>
      </c>
      <c r="E71" s="92" t="str">
        <f>VLOOKUP(D71,[1]TERCEROS!$A$2:$C$4000,3,FALSE)</f>
        <v>SERVIENTREGA S.A.</v>
      </c>
      <c r="F71" s="86" t="s">
        <v>551</v>
      </c>
      <c r="G71" s="87">
        <v>4350</v>
      </c>
      <c r="H71" s="180">
        <v>0</v>
      </c>
      <c r="I71" s="239">
        <f t="shared" si="0"/>
        <v>4350</v>
      </c>
    </row>
    <row r="72" spans="1:9" s="1" customFormat="1" ht="15" thickBot="1" x14ac:dyDescent="0.4">
      <c r="A72" s="82">
        <v>63</v>
      </c>
      <c r="B72" s="353" t="s">
        <v>98</v>
      </c>
      <c r="C72" s="107">
        <v>43425</v>
      </c>
      <c r="D72" s="17">
        <v>1013591422</v>
      </c>
      <c r="E72" s="18" t="s">
        <v>552</v>
      </c>
      <c r="F72" s="19" t="s">
        <v>553</v>
      </c>
      <c r="G72" s="20">
        <v>130000</v>
      </c>
      <c r="H72" s="177">
        <v>0</v>
      </c>
      <c r="I72" s="230">
        <f t="shared" si="0"/>
        <v>130000</v>
      </c>
    </row>
    <row r="73" spans="1:9" s="1" customFormat="1" ht="15" thickBot="1" x14ac:dyDescent="0.4">
      <c r="A73" s="82">
        <v>64</v>
      </c>
      <c r="B73" s="354"/>
      <c r="C73" s="108">
        <v>43424</v>
      </c>
      <c r="D73" s="26">
        <v>900335241</v>
      </c>
      <c r="E73" s="27" t="str">
        <f>VLOOKUP(D73,[1]TERCEROS!$A$2:$C$4000,3,FALSE)</f>
        <v>MIS CARNES PARRILLA S.A.S</v>
      </c>
      <c r="F73" s="28" t="s">
        <v>554</v>
      </c>
      <c r="G73" s="29">
        <v>167700</v>
      </c>
      <c r="H73" s="178">
        <v>0</v>
      </c>
      <c r="I73" s="231">
        <f t="shared" si="0"/>
        <v>167700</v>
      </c>
    </row>
    <row r="74" spans="1:9" s="1" customFormat="1" ht="15" thickBot="1" x14ac:dyDescent="0.4">
      <c r="A74" s="82">
        <v>65</v>
      </c>
      <c r="B74" s="354"/>
      <c r="C74" s="108">
        <v>43424</v>
      </c>
      <c r="D74" s="26">
        <v>1031138543</v>
      </c>
      <c r="E74" s="27" t="str">
        <f>VLOOKUP(D74,[1]TERCEROS!$A$2:$C$4000,3,FALSE)</f>
        <v>OSCAR EDUARDO VALENCIA</v>
      </c>
      <c r="F74" s="28" t="s">
        <v>553</v>
      </c>
      <c r="G74" s="29">
        <v>130000</v>
      </c>
      <c r="H74" s="178">
        <v>0</v>
      </c>
      <c r="I74" s="231">
        <f t="shared" si="0"/>
        <v>130000</v>
      </c>
    </row>
    <row r="75" spans="1:9" s="1" customFormat="1" ht="15" thickBot="1" x14ac:dyDescent="0.4">
      <c r="A75" s="82">
        <v>66</v>
      </c>
      <c r="B75" s="354"/>
      <c r="C75" s="108">
        <v>43424</v>
      </c>
      <c r="D75" s="26">
        <v>1026273676</v>
      </c>
      <c r="E75" s="27" t="s">
        <v>555</v>
      </c>
      <c r="F75" s="28" t="s">
        <v>553</v>
      </c>
      <c r="G75" s="29">
        <v>130000</v>
      </c>
      <c r="H75" s="178">
        <v>0</v>
      </c>
      <c r="I75" s="231">
        <f t="shared" si="0"/>
        <v>130000</v>
      </c>
    </row>
    <row r="76" spans="1:9" s="1" customFormat="1" ht="15" thickBot="1" x14ac:dyDescent="0.4">
      <c r="A76" s="82">
        <v>67</v>
      </c>
      <c r="B76" s="354"/>
      <c r="C76" s="108">
        <v>43427</v>
      </c>
      <c r="D76" s="26">
        <v>1031138543</v>
      </c>
      <c r="E76" s="27" t="str">
        <f>VLOOKUP(D76,[1]TERCEROS!$A$2:$C$4000,3,FALSE)</f>
        <v>OSCAR EDUARDO VALENCIA</v>
      </c>
      <c r="F76" s="28" t="s">
        <v>553</v>
      </c>
      <c r="G76" s="29">
        <v>100000</v>
      </c>
      <c r="H76" s="178">
        <v>0</v>
      </c>
      <c r="I76" s="231">
        <f t="shared" si="0"/>
        <v>100000</v>
      </c>
    </row>
    <row r="77" spans="1:9" s="1" customFormat="1" ht="15" thickBot="1" x14ac:dyDescent="0.4">
      <c r="A77" s="82">
        <v>68</v>
      </c>
      <c r="B77" s="354"/>
      <c r="C77" s="108">
        <v>43425</v>
      </c>
      <c r="D77" s="26">
        <v>1072655064</v>
      </c>
      <c r="E77" s="27" t="s">
        <v>217</v>
      </c>
      <c r="F77" s="28" t="s">
        <v>554</v>
      </c>
      <c r="G77" s="29">
        <v>118600</v>
      </c>
      <c r="H77" s="178">
        <v>0</v>
      </c>
      <c r="I77" s="231">
        <f t="shared" si="0"/>
        <v>118600</v>
      </c>
    </row>
    <row r="78" spans="1:9" s="1" customFormat="1" ht="15" thickBot="1" x14ac:dyDescent="0.4">
      <c r="A78" s="82">
        <v>69</v>
      </c>
      <c r="B78" s="354"/>
      <c r="C78" s="108">
        <v>43428</v>
      </c>
      <c r="D78" s="26">
        <v>830054076</v>
      </c>
      <c r="E78" s="27" t="str">
        <f>VLOOKUP(D78,[1]TERCEROS!$A$2:$C$4000,3,FALSE)</f>
        <v>FIDEICOMISOS SOCIEDAD FIDUCIARIA</v>
      </c>
      <c r="F78" s="28" t="s">
        <v>59</v>
      </c>
      <c r="G78" s="29">
        <v>9700</v>
      </c>
      <c r="H78" s="178">
        <v>0</v>
      </c>
      <c r="I78" s="231">
        <f t="shared" si="0"/>
        <v>9700</v>
      </c>
    </row>
    <row r="79" spans="1:9" s="1" customFormat="1" ht="15" thickBot="1" x14ac:dyDescent="0.4">
      <c r="A79" s="82">
        <v>70</v>
      </c>
      <c r="B79" s="354"/>
      <c r="C79" s="132">
        <v>43428</v>
      </c>
      <c r="D79" s="91">
        <v>222222222</v>
      </c>
      <c r="E79" s="27" t="str">
        <f>VLOOKUP(D79,[1]TERCEROS!$A$2:$C$4000,3,FALSE)</f>
        <v>CUANTIAS MINIMAS</v>
      </c>
      <c r="F79" s="86" t="s">
        <v>48</v>
      </c>
      <c r="G79" s="87">
        <v>5400</v>
      </c>
      <c r="H79" s="178">
        <v>0</v>
      </c>
      <c r="I79" s="231">
        <f t="shared" si="0"/>
        <v>5400</v>
      </c>
    </row>
    <row r="80" spans="1:9" s="1" customFormat="1" ht="15" thickBot="1" x14ac:dyDescent="0.4">
      <c r="A80" s="82">
        <v>71</v>
      </c>
      <c r="B80" s="355"/>
      <c r="C80" s="109">
        <v>43430</v>
      </c>
      <c r="D80" s="110">
        <v>900449608</v>
      </c>
      <c r="E80" s="111" t="s">
        <v>556</v>
      </c>
      <c r="F80" s="112" t="s">
        <v>34</v>
      </c>
      <c r="G80" s="113">
        <v>50000</v>
      </c>
      <c r="H80" s="179">
        <v>0</v>
      </c>
      <c r="I80" s="232">
        <f t="shared" si="0"/>
        <v>50000</v>
      </c>
    </row>
    <row r="81" spans="1:37" s="1" customFormat="1" ht="15" thickBot="1" x14ac:dyDescent="0.4">
      <c r="A81" s="82">
        <v>72</v>
      </c>
      <c r="B81" s="340" t="s">
        <v>369</v>
      </c>
      <c r="C81" s="107">
        <v>43424</v>
      </c>
      <c r="D81" s="17">
        <v>17146359</v>
      </c>
      <c r="E81" s="18" t="str">
        <f>VLOOKUP(D81,[1]TERCEROS!$A$2:$C$4000,3,FALSE)</f>
        <v>CARLOS ALBERTO HUERTAS</v>
      </c>
      <c r="F81" s="19" t="s">
        <v>557</v>
      </c>
      <c r="G81" s="20">
        <v>200250</v>
      </c>
      <c r="H81" s="177">
        <v>0</v>
      </c>
      <c r="I81" s="267">
        <f t="shared" ref="I81:I83" si="1">G81+H81</f>
        <v>200250</v>
      </c>
    </row>
    <row r="82" spans="1:37" s="1" customFormat="1" ht="15" thickBot="1" x14ac:dyDescent="0.4">
      <c r="A82" s="82">
        <v>73</v>
      </c>
      <c r="B82" s="341"/>
      <c r="C82" s="108">
        <v>43424</v>
      </c>
      <c r="D82" s="26">
        <v>12144105</v>
      </c>
      <c r="E82" s="27" t="str">
        <f>VLOOKUP(D82,[1]TERCEROS!$A$2:$C$4000,3,FALSE)</f>
        <v>VILLA JAVIER JIMENEZ</v>
      </c>
      <c r="F82" s="28" t="s">
        <v>305</v>
      </c>
      <c r="G82" s="29">
        <v>200000</v>
      </c>
      <c r="H82" s="178">
        <v>0</v>
      </c>
      <c r="I82" s="238">
        <f t="shared" si="1"/>
        <v>200000</v>
      </c>
    </row>
    <row r="83" spans="1:37" s="1" customFormat="1" ht="15" thickBot="1" x14ac:dyDescent="0.4">
      <c r="A83" s="82">
        <v>74</v>
      </c>
      <c r="B83" s="341"/>
      <c r="C83" s="109">
        <v>43420</v>
      </c>
      <c r="D83" s="110">
        <v>10306806</v>
      </c>
      <c r="E83" s="111" t="str">
        <f>VLOOKUP(D83,[1]TERCEROS!$A$2:$C$4000,3,FALSE)</f>
        <v>JAIRO ALBERTO MOSQUERA SAAVEDRA</v>
      </c>
      <c r="F83" s="112" t="s">
        <v>558</v>
      </c>
      <c r="G83" s="113">
        <v>38000</v>
      </c>
      <c r="H83" s="179">
        <v>0</v>
      </c>
      <c r="I83" s="268">
        <f t="shared" si="1"/>
        <v>38000</v>
      </c>
    </row>
    <row r="84" spans="1:37" s="2" customFormat="1" ht="15.75" customHeight="1" thickBot="1" x14ac:dyDescent="0.4">
      <c r="A84" s="327" t="s">
        <v>442</v>
      </c>
      <c r="B84" s="328"/>
      <c r="C84" s="329"/>
      <c r="D84" s="329"/>
      <c r="E84" s="330"/>
      <c r="F84" s="93" t="s">
        <v>24</v>
      </c>
      <c r="G84" s="94">
        <f>SUM(G10:G83)</f>
        <v>2868993</v>
      </c>
      <c r="H84" s="94">
        <f>SUM(H10:H83)</f>
        <v>92894.760000000009</v>
      </c>
      <c r="I84" s="94">
        <f>SUM(I10:I83)</f>
        <v>2961887.76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s="2" customFormat="1" ht="15" customHeight="1" x14ac:dyDescent="0.35">
      <c r="A85" s="300" t="s">
        <v>26</v>
      </c>
      <c r="B85" s="301"/>
      <c r="C85" s="301"/>
      <c r="D85" s="306" t="s">
        <v>58</v>
      </c>
      <c r="E85" s="307"/>
      <c r="F85" s="312"/>
      <c r="G85" s="315" t="s">
        <v>16</v>
      </c>
      <c r="H85" s="316"/>
      <c r="I85" s="35">
        <v>3000000</v>
      </c>
      <c r="J85" s="1"/>
      <c r="K85" s="1"/>
      <c r="L85" s="1"/>
      <c r="M85" s="2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s="2" customFormat="1" ht="15" customHeight="1" x14ac:dyDescent="0.35">
      <c r="A86" s="302"/>
      <c r="B86" s="303"/>
      <c r="C86" s="303"/>
      <c r="D86" s="308"/>
      <c r="E86" s="309"/>
      <c r="F86" s="313"/>
      <c r="G86" s="317" t="s">
        <v>17</v>
      </c>
      <c r="H86" s="318"/>
      <c r="I86" s="36">
        <f>+I85-I84</f>
        <v>38112.240000000224</v>
      </c>
      <c r="J86" s="1"/>
      <c r="K86" s="1"/>
      <c r="L86" s="1"/>
      <c r="M86" s="2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s="1" customFormat="1" ht="15.75" customHeight="1" thickBot="1" x14ac:dyDescent="0.4">
      <c r="A87" s="304"/>
      <c r="B87" s="305"/>
      <c r="C87" s="305"/>
      <c r="D87" s="310"/>
      <c r="E87" s="311"/>
      <c r="F87" s="314"/>
      <c r="G87" s="289" t="s">
        <v>5</v>
      </c>
      <c r="H87" s="290"/>
      <c r="I87" s="37">
        <f>+I85-I86</f>
        <v>2961887.76</v>
      </c>
    </row>
    <row r="88" spans="1:37" s="1" customFormat="1" ht="15" thickBot="1" x14ac:dyDescent="0.4">
      <c r="A88" s="291" t="s">
        <v>25</v>
      </c>
      <c r="B88" s="292"/>
      <c r="C88" s="292"/>
      <c r="D88" s="293"/>
      <c r="E88" s="38"/>
      <c r="F88" s="38"/>
      <c r="G88" s="38"/>
      <c r="H88" s="38"/>
      <c r="I88" s="39"/>
    </row>
    <row r="89" spans="1:37" s="1" customFormat="1" ht="15" thickBot="1" x14ac:dyDescent="0.4">
      <c r="A89" s="40"/>
      <c r="B89" s="41" t="s">
        <v>6</v>
      </c>
      <c r="C89" s="42">
        <f>+D104</f>
        <v>38100</v>
      </c>
      <c r="D89" s="39"/>
      <c r="E89" s="43">
        <f>C89+C91+I84</f>
        <v>2999987.76</v>
      </c>
      <c r="F89" s="43"/>
      <c r="G89" s="38"/>
      <c r="H89" s="38"/>
      <c r="I89" s="44"/>
    </row>
    <row r="90" spans="1:37" s="1" customFormat="1" ht="15" thickBot="1" x14ac:dyDescent="0.4">
      <c r="A90" s="40"/>
      <c r="B90" s="41"/>
      <c r="C90" s="45"/>
      <c r="D90" s="39"/>
      <c r="E90" s="43">
        <f>+E89-I85</f>
        <v>-12.240000000223517</v>
      </c>
      <c r="F90" s="38"/>
      <c r="G90" s="38"/>
      <c r="H90" s="38"/>
      <c r="I90" s="39"/>
    </row>
    <row r="91" spans="1:37" s="1" customFormat="1" ht="15" thickBot="1" x14ac:dyDescent="0.4">
      <c r="A91" s="40"/>
      <c r="B91" s="47" t="s">
        <v>7</v>
      </c>
      <c r="C91" s="45">
        <f>SUM(C90:C90)</f>
        <v>0</v>
      </c>
      <c r="D91" s="39"/>
      <c r="E91" s="48"/>
      <c r="F91" s="48"/>
      <c r="G91" s="48"/>
      <c r="H91" s="48"/>
      <c r="I91" s="49"/>
    </row>
    <row r="92" spans="1:37" s="1" customFormat="1" ht="15" thickBot="1" x14ac:dyDescent="0.4">
      <c r="A92" s="40"/>
      <c r="B92" s="50"/>
      <c r="C92" s="51"/>
      <c r="D92" s="39"/>
      <c r="E92" s="48"/>
      <c r="F92" s="48"/>
      <c r="G92" s="48"/>
      <c r="H92" s="48"/>
      <c r="I92" s="49"/>
    </row>
    <row r="93" spans="1:37" s="1" customFormat="1" ht="15" thickBot="1" x14ac:dyDescent="0.4">
      <c r="A93" s="40"/>
      <c r="B93" s="52"/>
      <c r="C93" s="53" t="s">
        <v>11</v>
      </c>
      <c r="D93" s="54" t="s">
        <v>4</v>
      </c>
      <c r="E93" s="38"/>
      <c r="F93" s="55"/>
      <c r="G93" s="38"/>
      <c r="H93" s="38"/>
      <c r="I93" s="39"/>
    </row>
    <row r="94" spans="1:37" s="1" customFormat="1" ht="14.5" x14ac:dyDescent="0.35">
      <c r="A94" s="40"/>
      <c r="B94" s="56"/>
      <c r="C94" s="57">
        <v>50000</v>
      </c>
      <c r="D94" s="58">
        <f t="shared" ref="D94:D103" si="2">+C94*B94</f>
        <v>0</v>
      </c>
      <c r="E94" s="257" t="s">
        <v>29</v>
      </c>
      <c r="F94" s="60" t="s">
        <v>27</v>
      </c>
      <c r="G94" s="294" t="s">
        <v>28</v>
      </c>
      <c r="H94" s="294"/>
      <c r="I94" s="295"/>
    </row>
    <row r="95" spans="1:37" s="5" customFormat="1" ht="15" customHeight="1" x14ac:dyDescent="0.35">
      <c r="A95" s="40"/>
      <c r="B95" s="62">
        <v>1</v>
      </c>
      <c r="C95" s="63">
        <v>20000</v>
      </c>
      <c r="D95" s="58">
        <f t="shared" si="2"/>
        <v>20000</v>
      </c>
      <c r="E95" s="258" t="s">
        <v>19</v>
      </c>
      <c r="F95" s="258" t="s">
        <v>20</v>
      </c>
      <c r="G95" s="296" t="s">
        <v>21</v>
      </c>
      <c r="H95" s="296"/>
      <c r="I95" s="29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s="5" customFormat="1" ht="15" customHeight="1" x14ac:dyDescent="0.35">
      <c r="A96" s="40"/>
      <c r="B96" s="62">
        <v>1</v>
      </c>
      <c r="C96" s="63">
        <v>10000</v>
      </c>
      <c r="D96" s="58">
        <f t="shared" si="2"/>
        <v>10000</v>
      </c>
      <c r="E96" s="259" t="s">
        <v>79</v>
      </c>
      <c r="F96" s="259" t="s">
        <v>80</v>
      </c>
      <c r="G96" s="298" t="s">
        <v>81</v>
      </c>
      <c r="H96" s="298"/>
      <c r="I96" s="29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s="5" customFormat="1" ht="15" customHeight="1" x14ac:dyDescent="0.35">
      <c r="A97" s="40"/>
      <c r="B97" s="62">
        <v>1</v>
      </c>
      <c r="C97" s="63">
        <v>5000</v>
      </c>
      <c r="D97" s="58">
        <f t="shared" si="2"/>
        <v>5000</v>
      </c>
      <c r="E97" s="38" t="s">
        <v>0</v>
      </c>
      <c r="F97" s="38"/>
      <c r="G97" s="38"/>
      <c r="H97" s="38"/>
      <c r="I97" s="3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s="5" customFormat="1" ht="15" customHeight="1" x14ac:dyDescent="0.35">
      <c r="A98" s="40"/>
      <c r="B98" s="62">
        <v>1</v>
      </c>
      <c r="C98" s="63">
        <v>2000</v>
      </c>
      <c r="D98" s="58">
        <f t="shared" si="2"/>
        <v>2000</v>
      </c>
      <c r="E98" s="38"/>
      <c r="F98" s="38" t="s">
        <v>8</v>
      </c>
      <c r="G98" s="38"/>
      <c r="H98" s="38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s="5" customFormat="1" ht="15" customHeight="1" x14ac:dyDescent="0.35">
      <c r="A99" s="40"/>
      <c r="B99" s="62">
        <v>1</v>
      </c>
      <c r="C99" s="63">
        <v>1000</v>
      </c>
      <c r="D99" s="58">
        <f t="shared" si="2"/>
        <v>1000</v>
      </c>
      <c r="E99" s="38"/>
      <c r="F99" s="38"/>
      <c r="G99" s="38"/>
      <c r="H99" s="38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s="1" customFormat="1" ht="15" customHeight="1" x14ac:dyDescent="0.35">
      <c r="A100" s="40"/>
      <c r="B100" s="62"/>
      <c r="C100" s="63">
        <v>500</v>
      </c>
      <c r="D100" s="58">
        <f t="shared" si="2"/>
        <v>0</v>
      </c>
      <c r="E100" s="38"/>
      <c r="F100" s="38"/>
      <c r="G100" s="38"/>
      <c r="H100" s="38"/>
      <c r="I100" s="39"/>
    </row>
    <row r="101" spans="1:37" s="1" customFormat="1" ht="15" customHeight="1" x14ac:dyDescent="0.35">
      <c r="A101" s="40"/>
      <c r="B101" s="62"/>
      <c r="C101" s="63">
        <v>200</v>
      </c>
      <c r="D101" s="58">
        <f t="shared" si="2"/>
        <v>0</v>
      </c>
      <c r="E101" s="38"/>
      <c r="F101" s="38"/>
      <c r="G101" s="38"/>
      <c r="H101" s="38"/>
      <c r="I101" s="39"/>
    </row>
    <row r="102" spans="1:37" s="1" customFormat="1" ht="15" customHeight="1" x14ac:dyDescent="0.35">
      <c r="A102" s="40"/>
      <c r="B102" s="62">
        <v>1</v>
      </c>
      <c r="C102" s="63">
        <v>100</v>
      </c>
      <c r="D102" s="58">
        <f>+C102*B102</f>
        <v>100</v>
      </c>
      <c r="E102" s="38"/>
      <c r="F102" s="43"/>
      <c r="G102" s="38"/>
      <c r="H102" s="38"/>
      <c r="I102" s="39"/>
    </row>
    <row r="103" spans="1:37" s="5" customFormat="1" ht="15" customHeight="1" thickBot="1" x14ac:dyDescent="0.4">
      <c r="A103" s="40"/>
      <c r="B103" s="68"/>
      <c r="C103" s="69">
        <v>50</v>
      </c>
      <c r="D103" s="58">
        <f t="shared" si="2"/>
        <v>0</v>
      </c>
      <c r="E103" s="38"/>
      <c r="F103" s="38"/>
      <c r="G103" s="38"/>
      <c r="H103" s="38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1" customFormat="1" ht="15" customHeight="1" thickBot="1" x14ac:dyDescent="0.4">
      <c r="A104" s="40"/>
      <c r="B104" s="257"/>
      <c r="C104" s="70"/>
      <c r="D104" s="71">
        <f>SUM(D94:D103)</f>
        <v>38100</v>
      </c>
      <c r="E104" s="38"/>
      <c r="F104" s="38"/>
      <c r="G104" s="38"/>
      <c r="H104" s="38"/>
      <c r="I104" s="39"/>
    </row>
    <row r="105" spans="1:37" s="5" customFormat="1" ht="15" customHeight="1" thickBot="1" x14ac:dyDescent="0.4">
      <c r="A105" s="72"/>
      <c r="B105" s="73"/>
      <c r="C105" s="74"/>
      <c r="D105" s="75"/>
      <c r="E105" s="76"/>
      <c r="F105" s="76"/>
      <c r="G105" s="76"/>
      <c r="H105" s="76"/>
      <c r="I105" s="7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s="5" customFormat="1" ht="22.5" customHeight="1" x14ac:dyDescent="0.35">
      <c r="A106" s="1"/>
      <c r="B106"/>
      <c r="C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s="3" customFormat="1" ht="22.5" customHeight="1" x14ac:dyDescent="0.35">
      <c r="A107"/>
      <c r="B107"/>
      <c r="C107" s="6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 s="3" customFormat="1" ht="22.5" customHeight="1" x14ac:dyDescent="0.35">
      <c r="A108"/>
      <c r="B108"/>
      <c r="C108" s="6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 s="3" customFormat="1" ht="22.5" customHeight="1" x14ac:dyDescent="0.35">
      <c r="A109"/>
      <c r="B109"/>
      <c r="C109" s="6"/>
      <c r="D109" s="7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</sheetData>
  <autoFilter ref="C9:J91"/>
  <mergeCells count="28">
    <mergeCell ref="G87:H87"/>
    <mergeCell ref="A88:D88"/>
    <mergeCell ref="G94:I94"/>
    <mergeCell ref="G95:I95"/>
    <mergeCell ref="G96:I96"/>
    <mergeCell ref="A85:C87"/>
    <mergeCell ref="D85:E87"/>
    <mergeCell ref="F85:F87"/>
    <mergeCell ref="G85:H85"/>
    <mergeCell ref="G86:H86"/>
    <mergeCell ref="A84:E84"/>
    <mergeCell ref="B11:B42"/>
    <mergeCell ref="B43:B46"/>
    <mergeCell ref="B47:B60"/>
    <mergeCell ref="B61:B66"/>
    <mergeCell ref="B67:B68"/>
    <mergeCell ref="B70:B71"/>
    <mergeCell ref="B72:B80"/>
    <mergeCell ref="B81:B83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0.7" right="0.7" top="0.75" bottom="0.75" header="0.3" footer="0.3"/>
  <pageSetup scale="4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5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6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82"/>
  <sheetViews>
    <sheetView showGridLines="0" topLeftCell="A10" workbookViewId="0">
      <selection activeCell="E29" sqref="E29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43437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64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64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266" t="s">
        <v>396</v>
      </c>
      <c r="C10" s="107">
        <v>43431</v>
      </c>
      <c r="D10" s="17">
        <v>900754508</v>
      </c>
      <c r="E10" s="18" t="s">
        <v>206</v>
      </c>
      <c r="F10" s="19" t="s">
        <v>120</v>
      </c>
      <c r="G10" s="20">
        <v>380000</v>
      </c>
      <c r="H10" s="177"/>
      <c r="I10" s="230">
        <f>IF($K$14=1,G10+H10,G10*H10)</f>
        <v>380000</v>
      </c>
    </row>
    <row r="11" spans="1:12" s="1" customFormat="1" ht="15" thickBot="1" x14ac:dyDescent="0.4">
      <c r="A11" s="82">
        <v>2</v>
      </c>
      <c r="B11" s="340" t="s">
        <v>53</v>
      </c>
      <c r="C11" s="108">
        <v>43424</v>
      </c>
      <c r="D11" s="26">
        <v>830054076</v>
      </c>
      <c r="E11" s="27" t="str">
        <f>VLOOKUP(D11,[1]TERCEROS!$A$2:$C$4000,3,FALSE)</f>
        <v>FIDEICOMISOS SOCIEDAD FIDUCIARIA</v>
      </c>
      <c r="F11" s="28" t="s">
        <v>33</v>
      </c>
      <c r="G11" s="29">
        <v>7800</v>
      </c>
      <c r="H11" s="178"/>
      <c r="I11" s="231">
        <f>IF($K$14=1,G11+H11,G11*H11)</f>
        <v>7800</v>
      </c>
    </row>
    <row r="12" spans="1:12" s="1" customFormat="1" ht="15" thickBot="1" x14ac:dyDescent="0.4">
      <c r="A12" s="82">
        <v>3</v>
      </c>
      <c r="B12" s="341"/>
      <c r="C12" s="108">
        <v>43424</v>
      </c>
      <c r="D12" s="26">
        <v>830054076</v>
      </c>
      <c r="E12" s="27" t="str">
        <f>VLOOKUP(D12,[1]TERCEROS!$A$2:$C$4000,3,FALSE)</f>
        <v>FIDEICOMISOS SOCIEDAD FIDUCIARIA</v>
      </c>
      <c r="F12" s="28" t="s">
        <v>33</v>
      </c>
      <c r="G12" s="29">
        <v>9700</v>
      </c>
      <c r="H12" s="178"/>
      <c r="I12" s="231">
        <f t="shared" ref="I12:I55" si="0">IF($K$14=1,G12+H12,G12*H12)</f>
        <v>9700</v>
      </c>
    </row>
    <row r="13" spans="1:12" s="1" customFormat="1" ht="15" thickBot="1" x14ac:dyDescent="0.4">
      <c r="A13" s="82">
        <v>4</v>
      </c>
      <c r="B13" s="341"/>
      <c r="C13" s="108">
        <v>43427</v>
      </c>
      <c r="D13" s="26">
        <v>222222222</v>
      </c>
      <c r="E13" s="27" t="str">
        <f>VLOOKUP(D13,[1]TERCEROS!$A$2:$C$4000,3,FALSE)</f>
        <v>CUANTIAS MINIMAS</v>
      </c>
      <c r="F13" s="28" t="s">
        <v>97</v>
      </c>
      <c r="G13" s="29">
        <v>18000</v>
      </c>
      <c r="H13" s="178"/>
      <c r="I13" s="231">
        <f t="shared" si="0"/>
        <v>18000</v>
      </c>
    </row>
    <row r="14" spans="1:12" s="1" customFormat="1" ht="15" thickBot="1" x14ac:dyDescent="0.4">
      <c r="A14" s="82">
        <v>5</v>
      </c>
      <c r="B14" s="346"/>
      <c r="C14" s="108">
        <v>43424</v>
      </c>
      <c r="D14" s="26">
        <v>900380028</v>
      </c>
      <c r="E14" s="27" t="str">
        <f>VLOOKUP(D14,[1]TERCEROS!$A$2:$C$4000,3,FALSE)</f>
        <v>INMOBILIARIA CENTRO SAN MARTIN</v>
      </c>
      <c r="F14" s="28" t="s">
        <v>35</v>
      </c>
      <c r="G14" s="29">
        <v>19957</v>
      </c>
      <c r="H14" s="178">
        <f>+G14*19%</f>
        <v>3791.83</v>
      </c>
      <c r="I14" s="231">
        <f t="shared" si="0"/>
        <v>23748.83</v>
      </c>
      <c r="K14" s="1">
        <v>1</v>
      </c>
    </row>
    <row r="15" spans="1:12" s="1" customFormat="1" ht="15" thickBot="1" x14ac:dyDescent="0.4">
      <c r="A15" s="82">
        <v>6</v>
      </c>
      <c r="B15" s="9" t="s">
        <v>559</v>
      </c>
      <c r="C15" s="108">
        <v>43426</v>
      </c>
      <c r="D15" s="26">
        <v>900491889</v>
      </c>
      <c r="E15" s="27" t="str">
        <f>VLOOKUP(D15,[1]TERCEROS!$A$2:$C$4000,3,FALSE)</f>
        <v>EDS TERMINAL NEIVA</v>
      </c>
      <c r="F15" s="28" t="s">
        <v>560</v>
      </c>
      <c r="G15" s="29">
        <v>17900</v>
      </c>
      <c r="H15" s="178"/>
      <c r="I15" s="231">
        <f t="shared" si="0"/>
        <v>17900</v>
      </c>
    </row>
    <row r="16" spans="1:12" s="1" customFormat="1" ht="15" thickBot="1" x14ac:dyDescent="0.4">
      <c r="A16" s="82">
        <v>7</v>
      </c>
      <c r="B16" s="340" t="s">
        <v>561</v>
      </c>
      <c r="C16" s="108">
        <v>43431</v>
      </c>
      <c r="D16" s="26">
        <v>11202446</v>
      </c>
      <c r="E16" s="27" t="str">
        <f>VLOOKUP(D16,[1]TERCEROS!$A$2:$C$4000,3,FALSE)</f>
        <v>CARLOS EMILIANO MARTINEZ CRISTANCHO</v>
      </c>
      <c r="F16" s="28" t="s">
        <v>97</v>
      </c>
      <c r="G16" s="29">
        <v>100000</v>
      </c>
      <c r="H16" s="178"/>
      <c r="I16" s="231">
        <f t="shared" si="0"/>
        <v>100000</v>
      </c>
    </row>
    <row r="17" spans="1:9" s="1" customFormat="1" ht="15" thickBot="1" x14ac:dyDescent="0.4">
      <c r="A17" s="82">
        <v>8</v>
      </c>
      <c r="B17" s="341"/>
      <c r="C17" s="108">
        <v>43413</v>
      </c>
      <c r="D17" s="26">
        <v>222222222</v>
      </c>
      <c r="E17" s="27" t="str">
        <f>VLOOKUP(D17,[1]TERCEROS!$A$2:$C$4000,3,FALSE)</f>
        <v>CUANTIAS MINIMAS</v>
      </c>
      <c r="F17" s="28" t="s">
        <v>560</v>
      </c>
      <c r="G17" s="29">
        <v>16000</v>
      </c>
      <c r="H17" s="178"/>
      <c r="I17" s="231">
        <f t="shared" si="0"/>
        <v>16000</v>
      </c>
    </row>
    <row r="18" spans="1:9" s="1" customFormat="1" ht="15" thickBot="1" x14ac:dyDescent="0.4">
      <c r="A18" s="82">
        <v>9</v>
      </c>
      <c r="B18" s="341"/>
      <c r="C18" s="108">
        <v>43425</v>
      </c>
      <c r="D18" s="26">
        <v>11202446</v>
      </c>
      <c r="E18" s="27" t="str">
        <f>VLOOKUP(D18,[1]TERCEROS!$A$2:$C$4000,3,FALSE)</f>
        <v>CARLOS EMILIANO MARTINEZ CRISTANCHO</v>
      </c>
      <c r="F18" s="28" t="s">
        <v>97</v>
      </c>
      <c r="G18" s="29">
        <v>50000</v>
      </c>
      <c r="H18" s="178"/>
      <c r="I18" s="231">
        <f t="shared" si="0"/>
        <v>50000</v>
      </c>
    </row>
    <row r="19" spans="1:9" s="1" customFormat="1" ht="15" thickBot="1" x14ac:dyDescent="0.4">
      <c r="A19" s="82">
        <v>10</v>
      </c>
      <c r="B19" s="346"/>
      <c r="C19" s="108">
        <v>43427</v>
      </c>
      <c r="D19" s="26">
        <v>222222222</v>
      </c>
      <c r="E19" s="27" t="str">
        <f>VLOOKUP(D19,[1]TERCEROS!$A$2:$C$4000,3,FALSE)</f>
        <v>CUANTIAS MINIMAS</v>
      </c>
      <c r="F19" s="28" t="s">
        <v>560</v>
      </c>
      <c r="G19" s="29">
        <v>32000</v>
      </c>
      <c r="H19" s="178"/>
      <c r="I19" s="231">
        <f t="shared" si="0"/>
        <v>32000</v>
      </c>
    </row>
    <row r="20" spans="1:9" s="1" customFormat="1" ht="15" thickBot="1" x14ac:dyDescent="0.4">
      <c r="A20" s="82">
        <v>11</v>
      </c>
      <c r="B20" s="340" t="s">
        <v>396</v>
      </c>
      <c r="C20" s="108">
        <v>43430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178"/>
      <c r="I20" s="2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43430</v>
      </c>
      <c r="D21" s="26">
        <v>830054076</v>
      </c>
      <c r="E21" s="27" t="str">
        <f>VLOOKUP(D21,[1]TERCEROS!$A$2:$C$4000,3,FALSE)</f>
        <v>FIDEICOMISOS SOCIEDAD FIDUCIARIA</v>
      </c>
      <c r="F21" s="28" t="s">
        <v>33</v>
      </c>
      <c r="G21" s="29">
        <v>9700</v>
      </c>
      <c r="H21" s="178"/>
      <c r="I21" s="231">
        <f t="shared" si="0"/>
        <v>9700</v>
      </c>
    </row>
    <row r="22" spans="1:9" s="1" customFormat="1" ht="15" thickBot="1" x14ac:dyDescent="0.4">
      <c r="A22" s="82">
        <v>13</v>
      </c>
      <c r="B22" s="340" t="s">
        <v>396</v>
      </c>
      <c r="C22" s="108">
        <v>43432</v>
      </c>
      <c r="D22" s="26">
        <v>79520042</v>
      </c>
      <c r="E22" s="27" t="s">
        <v>562</v>
      </c>
      <c r="F22" s="28" t="s">
        <v>563</v>
      </c>
      <c r="G22" s="29">
        <v>45000</v>
      </c>
      <c r="H22" s="178">
        <f>+G22*19%</f>
        <v>8550</v>
      </c>
      <c r="I22" s="231">
        <f t="shared" si="0"/>
        <v>53550</v>
      </c>
    </row>
    <row r="23" spans="1:9" s="1" customFormat="1" ht="24.5" thickBot="1" x14ac:dyDescent="0.4">
      <c r="A23" s="82">
        <v>14</v>
      </c>
      <c r="B23" s="341"/>
      <c r="C23" s="108">
        <v>43432</v>
      </c>
      <c r="D23" s="26">
        <v>900660891</v>
      </c>
      <c r="E23" s="27" t="s">
        <v>564</v>
      </c>
      <c r="F23" s="28" t="s">
        <v>565</v>
      </c>
      <c r="G23" s="29">
        <v>404000</v>
      </c>
      <c r="H23" s="178">
        <f>+G23*19%</f>
        <v>76760</v>
      </c>
      <c r="I23" s="231">
        <f t="shared" si="0"/>
        <v>480760</v>
      </c>
    </row>
    <row r="24" spans="1:9" s="1" customFormat="1" ht="15" thickBot="1" x14ac:dyDescent="0.4">
      <c r="A24" s="82">
        <v>15</v>
      </c>
      <c r="B24" s="341"/>
      <c r="C24" s="108">
        <v>43421</v>
      </c>
      <c r="D24" s="26">
        <v>900491889</v>
      </c>
      <c r="E24" s="27" t="str">
        <f>VLOOKUP(D24,[1]TERCEROS!$A$2:$C$4000,3,FALSE)</f>
        <v>EDS TERMINAL NEIVA</v>
      </c>
      <c r="F24" s="28" t="s">
        <v>105</v>
      </c>
      <c r="G24" s="29">
        <v>40000</v>
      </c>
      <c r="H24" s="178"/>
      <c r="I24" s="231">
        <f t="shared" si="0"/>
        <v>40000</v>
      </c>
    </row>
    <row r="25" spans="1:9" s="1" customFormat="1" ht="15" thickBot="1" x14ac:dyDescent="0.4">
      <c r="A25" s="82">
        <v>16</v>
      </c>
      <c r="B25" s="341"/>
      <c r="C25" s="108">
        <v>43422</v>
      </c>
      <c r="D25" s="26">
        <v>800149523</v>
      </c>
      <c r="E25" s="27" t="str">
        <f>VLOOKUP(D25,[1]TERCEROS!$A$2:$C$4000,3,FALSE)</f>
        <v>TRANSMULTIMAC LTDA</v>
      </c>
      <c r="F25" s="28" t="s">
        <v>566</v>
      </c>
      <c r="G25" s="29">
        <v>25000</v>
      </c>
      <c r="H25" s="178"/>
      <c r="I25" s="231">
        <f>IF($K$14=1,G25+H25,G25*H25)</f>
        <v>25000</v>
      </c>
    </row>
    <row r="26" spans="1:9" s="1" customFormat="1" ht="15" thickBot="1" x14ac:dyDescent="0.4">
      <c r="A26" s="82">
        <v>17</v>
      </c>
      <c r="B26" s="341"/>
      <c r="C26" s="108">
        <v>43432</v>
      </c>
      <c r="D26" s="26">
        <v>1083865176</v>
      </c>
      <c r="E26" s="27" t="str">
        <f>VLOOKUP(D26,[1]TERCEROS!$A$2:$C$4000,3,FALSE)</f>
        <v>EDWARD DORADO SALAMANCA</v>
      </c>
      <c r="F26" s="28" t="s">
        <v>97</v>
      </c>
      <c r="G26" s="29">
        <v>11000</v>
      </c>
      <c r="H26" s="178"/>
      <c r="I26" s="231">
        <f t="shared" si="0"/>
        <v>11000</v>
      </c>
    </row>
    <row r="27" spans="1:9" s="1" customFormat="1" ht="15" thickBot="1" x14ac:dyDescent="0.4">
      <c r="A27" s="82">
        <v>18</v>
      </c>
      <c r="B27" s="346"/>
      <c r="C27" s="108">
        <v>43433</v>
      </c>
      <c r="D27" s="26">
        <v>79265435</v>
      </c>
      <c r="E27" s="27" t="s">
        <v>131</v>
      </c>
      <c r="F27" s="28" t="s">
        <v>322</v>
      </c>
      <c r="G27" s="29">
        <v>53500</v>
      </c>
      <c r="H27" s="178"/>
      <c r="I27" s="231">
        <f t="shared" si="0"/>
        <v>53500</v>
      </c>
    </row>
    <row r="28" spans="1:9" s="1" customFormat="1" ht="15" thickBot="1" x14ac:dyDescent="0.4">
      <c r="A28" s="82">
        <v>19</v>
      </c>
      <c r="B28" s="340" t="s">
        <v>197</v>
      </c>
      <c r="C28" s="108">
        <v>43432</v>
      </c>
      <c r="D28" s="26">
        <v>811029132</v>
      </c>
      <c r="E28" s="27" t="s">
        <v>567</v>
      </c>
      <c r="F28" s="28" t="s">
        <v>568</v>
      </c>
      <c r="G28" s="29">
        <v>13840</v>
      </c>
      <c r="H28" s="178">
        <f>+G28*19%</f>
        <v>2629.6</v>
      </c>
      <c r="I28" s="231">
        <f t="shared" si="0"/>
        <v>16469.599999999999</v>
      </c>
    </row>
    <row r="29" spans="1:9" s="1" customFormat="1" ht="15" thickBot="1" x14ac:dyDescent="0.4">
      <c r="A29" s="82">
        <v>20</v>
      </c>
      <c r="B29" s="341"/>
      <c r="C29" s="108">
        <v>43432</v>
      </c>
      <c r="D29" s="26">
        <v>900507883</v>
      </c>
      <c r="E29" s="27" t="s">
        <v>569</v>
      </c>
      <c r="F29" s="28" t="s">
        <v>277</v>
      </c>
      <c r="G29" s="29">
        <v>7983</v>
      </c>
      <c r="H29" s="178">
        <f>+G29*19%</f>
        <v>1516.77</v>
      </c>
      <c r="I29" s="231">
        <f t="shared" si="0"/>
        <v>9499.77</v>
      </c>
    </row>
    <row r="30" spans="1:9" s="1" customFormat="1" ht="15" thickBot="1" x14ac:dyDescent="0.4">
      <c r="A30" s="82">
        <v>21</v>
      </c>
      <c r="B30" s="341"/>
      <c r="C30" s="108">
        <v>43432</v>
      </c>
      <c r="D30" s="26">
        <v>80173451</v>
      </c>
      <c r="E30" s="27" t="str">
        <f>VLOOKUP(D30,[1]TERCEROS!$A$2:$C$4000,3,FALSE)</f>
        <v>CARO RIVERA JUAN CARLOS</v>
      </c>
      <c r="F30" s="28" t="s">
        <v>277</v>
      </c>
      <c r="G30" s="29">
        <v>210000</v>
      </c>
      <c r="H30" s="178"/>
      <c r="I30" s="231">
        <f t="shared" si="0"/>
        <v>210000</v>
      </c>
    </row>
    <row r="31" spans="1:9" s="1" customFormat="1" ht="15" thickBot="1" x14ac:dyDescent="0.4">
      <c r="A31" s="82">
        <v>22</v>
      </c>
      <c r="B31" s="346"/>
      <c r="C31" s="108">
        <v>43432</v>
      </c>
      <c r="D31" s="26">
        <v>19208239</v>
      </c>
      <c r="E31" s="27" t="s">
        <v>570</v>
      </c>
      <c r="F31" s="28" t="s">
        <v>571</v>
      </c>
      <c r="G31" s="29">
        <v>22689</v>
      </c>
      <c r="H31" s="178">
        <f>+G31*19%</f>
        <v>4310.91</v>
      </c>
      <c r="I31" s="231">
        <f t="shared" si="0"/>
        <v>26999.91</v>
      </c>
    </row>
    <row r="32" spans="1:9" s="1" customFormat="1" ht="24.5" thickBot="1" x14ac:dyDescent="0.4">
      <c r="A32" s="82">
        <v>23</v>
      </c>
      <c r="B32" s="9" t="s">
        <v>572</v>
      </c>
      <c r="C32" s="108">
        <v>43432</v>
      </c>
      <c r="D32" s="26">
        <v>900985940</v>
      </c>
      <c r="E32" s="27" t="str">
        <f>VLOOKUP(D32,[1]TERCEROS!$A$2:$C$4000,3,FALSE)</f>
        <v>OSI FUNZA COMERCIALIZADORA DE GASES</v>
      </c>
      <c r="F32" s="28" t="s">
        <v>573</v>
      </c>
      <c r="G32" s="29">
        <v>156303</v>
      </c>
      <c r="H32" s="178">
        <f>+G32*19%</f>
        <v>29697.57</v>
      </c>
      <c r="I32" s="231">
        <f t="shared" si="0"/>
        <v>186000.57</v>
      </c>
    </row>
    <row r="33" spans="1:9" s="1" customFormat="1" ht="15" thickBot="1" x14ac:dyDescent="0.4">
      <c r="A33" s="82">
        <v>24</v>
      </c>
      <c r="B33" s="265" t="s">
        <v>583</v>
      </c>
      <c r="C33" s="108">
        <v>43430</v>
      </c>
      <c r="D33" s="26">
        <v>80167802</v>
      </c>
      <c r="E33" s="27" t="s">
        <v>584</v>
      </c>
      <c r="F33" s="28" t="s">
        <v>585</v>
      </c>
      <c r="G33" s="29">
        <v>226800</v>
      </c>
      <c r="H33" s="178">
        <f>+G33*19%</f>
        <v>43092</v>
      </c>
      <c r="I33" s="231">
        <f t="shared" si="0"/>
        <v>269892</v>
      </c>
    </row>
    <row r="34" spans="1:9" s="1" customFormat="1" ht="15" thickBot="1" x14ac:dyDescent="0.4">
      <c r="A34" s="82">
        <v>25</v>
      </c>
      <c r="B34" s="340" t="s">
        <v>396</v>
      </c>
      <c r="C34" s="108">
        <v>43431</v>
      </c>
      <c r="D34" s="26">
        <v>830054076</v>
      </c>
      <c r="E34" s="27" t="str">
        <f>VLOOKUP(D34,[1]TERCEROS!$A$2:$C$4000,3,FALSE)</f>
        <v>FIDEICOMISOS SOCIEDAD FIDUCIARIA</v>
      </c>
      <c r="F34" s="28" t="s">
        <v>33</v>
      </c>
      <c r="G34" s="29">
        <v>11600</v>
      </c>
      <c r="H34" s="178">
        <v>0</v>
      </c>
      <c r="I34" s="231">
        <f t="shared" si="0"/>
        <v>11600</v>
      </c>
    </row>
    <row r="35" spans="1:9" s="1" customFormat="1" ht="15" thickBot="1" x14ac:dyDescent="0.4">
      <c r="A35" s="82">
        <v>26</v>
      </c>
      <c r="B35" s="341"/>
      <c r="C35" s="108">
        <v>43432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11600</v>
      </c>
      <c r="H35" s="178"/>
      <c r="I35" s="231">
        <f t="shared" si="0"/>
        <v>11600</v>
      </c>
    </row>
    <row r="36" spans="1:9" s="1" customFormat="1" ht="15" thickBot="1" x14ac:dyDescent="0.4">
      <c r="A36" s="82">
        <v>27</v>
      </c>
      <c r="B36" s="341"/>
      <c r="C36" s="108">
        <v>43433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14100</v>
      </c>
      <c r="H36" s="178"/>
      <c r="I36" s="231">
        <f t="shared" si="0"/>
        <v>14100</v>
      </c>
    </row>
    <row r="37" spans="1:9" s="1" customFormat="1" ht="15" thickBot="1" x14ac:dyDescent="0.4">
      <c r="A37" s="82">
        <v>28</v>
      </c>
      <c r="B37" s="341"/>
      <c r="C37" s="108">
        <v>43433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11600</v>
      </c>
      <c r="H37" s="178"/>
      <c r="I37" s="231">
        <f t="shared" si="0"/>
        <v>11600</v>
      </c>
    </row>
    <row r="38" spans="1:9" s="1" customFormat="1" ht="15" thickBot="1" x14ac:dyDescent="0.4">
      <c r="A38" s="82">
        <v>29</v>
      </c>
      <c r="B38" s="341"/>
      <c r="C38" s="108">
        <v>43433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14100</v>
      </c>
      <c r="H38" s="178"/>
      <c r="I38" s="231">
        <f t="shared" si="0"/>
        <v>14100</v>
      </c>
    </row>
    <row r="39" spans="1:9" s="1" customFormat="1" ht="15" thickBot="1" x14ac:dyDescent="0.4">
      <c r="A39" s="82">
        <v>30</v>
      </c>
      <c r="B39" s="341"/>
      <c r="C39" s="108">
        <v>43433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11600</v>
      </c>
      <c r="H39" s="178"/>
      <c r="I39" s="231">
        <f t="shared" si="0"/>
        <v>11600</v>
      </c>
    </row>
    <row r="40" spans="1:9" s="1" customFormat="1" ht="15" thickBot="1" x14ac:dyDescent="0.4">
      <c r="A40" s="82">
        <v>31</v>
      </c>
      <c r="B40" s="341"/>
      <c r="C40" s="108">
        <v>43433</v>
      </c>
      <c r="D40" s="26">
        <v>830054076</v>
      </c>
      <c r="E40" s="27" t="str">
        <f>VLOOKUP(D40,[1]TERCEROS!$A$2:$C$4000,3,FALSE)</f>
        <v>FIDEICOMISOS SOCIEDAD FIDUCIARIA</v>
      </c>
      <c r="F40" s="28" t="s">
        <v>33</v>
      </c>
      <c r="G40" s="29">
        <v>9700</v>
      </c>
      <c r="H40" s="178"/>
      <c r="I40" s="231">
        <f t="shared" si="0"/>
        <v>9700</v>
      </c>
    </row>
    <row r="41" spans="1:9" s="1" customFormat="1" ht="15" thickBot="1" x14ac:dyDescent="0.4">
      <c r="A41" s="82">
        <v>32</v>
      </c>
      <c r="B41" s="341"/>
      <c r="C41" s="108">
        <v>43433</v>
      </c>
      <c r="D41" s="26">
        <v>860045752</v>
      </c>
      <c r="E41" s="27" t="str">
        <f>VLOOKUP(D41,[1]TERCEROS!$A$2:$C$4000,3,FALSE)</f>
        <v>AUROS COPIAS SA</v>
      </c>
      <c r="F41" s="28" t="s">
        <v>190</v>
      </c>
      <c r="G41" s="29">
        <v>84034</v>
      </c>
      <c r="H41" s="178">
        <f>+G41*19%</f>
        <v>15966.460000000001</v>
      </c>
      <c r="I41" s="231">
        <f t="shared" si="0"/>
        <v>100000.46</v>
      </c>
    </row>
    <row r="42" spans="1:9" s="1" customFormat="1" ht="15" thickBot="1" x14ac:dyDescent="0.4">
      <c r="A42" s="82">
        <v>33</v>
      </c>
      <c r="B42" s="341"/>
      <c r="C42" s="108">
        <v>43432</v>
      </c>
      <c r="D42" s="26">
        <v>800082322</v>
      </c>
      <c r="E42" s="27" t="s">
        <v>579</v>
      </c>
      <c r="F42" s="28" t="s">
        <v>580</v>
      </c>
      <c r="G42" s="29">
        <v>15126</v>
      </c>
      <c r="H42" s="178">
        <f>+G42*19%</f>
        <v>2873.94</v>
      </c>
      <c r="I42" s="231">
        <f t="shared" si="0"/>
        <v>17999.939999999999</v>
      </c>
    </row>
    <row r="43" spans="1:9" s="1" customFormat="1" ht="15" thickBot="1" x14ac:dyDescent="0.4">
      <c r="A43" s="82">
        <v>34</v>
      </c>
      <c r="B43" s="341"/>
      <c r="C43" s="108">
        <v>43432</v>
      </c>
      <c r="D43" s="26">
        <v>52495204</v>
      </c>
      <c r="E43" s="27" t="s">
        <v>581</v>
      </c>
      <c r="F43" s="28" t="s">
        <v>582</v>
      </c>
      <c r="G43" s="29">
        <v>13500</v>
      </c>
      <c r="H43" s="178"/>
      <c r="I43" s="231">
        <f t="shared" si="0"/>
        <v>13500</v>
      </c>
    </row>
    <row r="44" spans="1:9" s="1" customFormat="1" ht="15" thickBot="1" x14ac:dyDescent="0.4">
      <c r="A44" s="82">
        <v>35</v>
      </c>
      <c r="B44" s="270"/>
      <c r="C44" s="108">
        <v>43432</v>
      </c>
      <c r="D44" s="26">
        <v>830054076</v>
      </c>
      <c r="E44" s="27" t="str">
        <f>VLOOKUP(D44,[1]TERCEROS!$A$2:$C$4000,3,FALSE)</f>
        <v>FIDEICOMISOS SOCIEDAD FIDUCIARIA</v>
      </c>
      <c r="F44" s="28" t="s">
        <v>33</v>
      </c>
      <c r="G44" s="29">
        <v>11600</v>
      </c>
      <c r="H44" s="178"/>
      <c r="I44" s="231">
        <f t="shared" si="0"/>
        <v>11600</v>
      </c>
    </row>
    <row r="45" spans="1:9" s="1" customFormat="1" ht="15" thickBot="1" x14ac:dyDescent="0.4">
      <c r="A45" s="82">
        <v>36</v>
      </c>
      <c r="B45" s="270"/>
      <c r="C45" s="108">
        <v>43411</v>
      </c>
      <c r="D45" s="26">
        <v>900906761</v>
      </c>
      <c r="E45" s="27" t="str">
        <f>VLOOKUP(D45,[1]TERCEROS!$A$2:$C$4000,3,FALSE)</f>
        <v>MOD COLOMBIA SAS</v>
      </c>
      <c r="F45" s="28" t="s">
        <v>34</v>
      </c>
      <c r="G45" s="29">
        <v>50000</v>
      </c>
      <c r="H45" s="178"/>
      <c r="I45" s="231">
        <f t="shared" si="0"/>
        <v>50000</v>
      </c>
    </row>
    <row r="46" spans="1:9" s="1" customFormat="1" ht="15" thickBot="1" x14ac:dyDescent="0.4">
      <c r="A46" s="82">
        <v>37</v>
      </c>
      <c r="B46" s="270"/>
      <c r="C46" s="108">
        <v>43382</v>
      </c>
      <c r="D46" s="26">
        <v>900491889</v>
      </c>
      <c r="E46" s="27" t="str">
        <f>VLOOKUP(D46,[1]TERCEROS!$A$2:$C$4000,3,FALSE)</f>
        <v>EDS TERMINAL NEIVA</v>
      </c>
      <c r="F46" s="28" t="s">
        <v>34</v>
      </c>
      <c r="G46" s="29">
        <v>30000</v>
      </c>
      <c r="H46" s="178"/>
      <c r="I46" s="231">
        <f t="shared" si="0"/>
        <v>30000</v>
      </c>
    </row>
    <row r="47" spans="1:9" s="1" customFormat="1" ht="15" thickBot="1" x14ac:dyDescent="0.4">
      <c r="A47" s="82">
        <v>38</v>
      </c>
      <c r="B47" s="270"/>
      <c r="C47" s="108">
        <v>43432</v>
      </c>
      <c r="D47" s="26">
        <v>832009308</v>
      </c>
      <c r="E47" s="27" t="str">
        <f>VLOOKUP(D47,[1]TERCEROS!$A$2:$C$4000,3,FALSE)</f>
        <v>OPERADORES DE COMBUSTIBLES</v>
      </c>
      <c r="F47" s="28" t="s">
        <v>34</v>
      </c>
      <c r="G47" s="29">
        <v>50000</v>
      </c>
      <c r="H47" s="178"/>
      <c r="I47" s="231">
        <f t="shared" si="0"/>
        <v>50000</v>
      </c>
    </row>
    <row r="48" spans="1:9" s="1" customFormat="1" ht="15" thickBot="1" x14ac:dyDescent="0.4">
      <c r="A48" s="82">
        <v>39</v>
      </c>
      <c r="B48" s="270"/>
      <c r="C48" s="108">
        <v>43411</v>
      </c>
      <c r="D48" s="26">
        <v>830054076</v>
      </c>
      <c r="E48" s="27" t="str">
        <f>VLOOKUP(D48,[1]TERCEROS!$A$2:$C$4000,3,FALSE)</f>
        <v>FIDEICOMISOS SOCIEDAD FIDUCIARIA</v>
      </c>
      <c r="F48" s="28" t="s">
        <v>33</v>
      </c>
      <c r="G48" s="29">
        <v>9700</v>
      </c>
      <c r="H48" s="178"/>
      <c r="I48" s="231">
        <f t="shared" si="0"/>
        <v>9700</v>
      </c>
    </row>
    <row r="49" spans="1:37" s="1" customFormat="1" ht="15" thickBot="1" x14ac:dyDescent="0.4">
      <c r="A49" s="82">
        <v>40</v>
      </c>
      <c r="B49" s="270"/>
      <c r="C49" s="108">
        <v>43411</v>
      </c>
      <c r="D49" s="26">
        <v>830054076</v>
      </c>
      <c r="E49" s="27" t="str">
        <f>VLOOKUP(D49,[1]TERCEROS!$A$2:$C$4000,3,FALSE)</f>
        <v>FIDEICOMISOS SOCIEDAD FIDUCIARIA</v>
      </c>
      <c r="F49" s="28" t="s">
        <v>33</v>
      </c>
      <c r="G49" s="29">
        <v>9700</v>
      </c>
      <c r="H49" s="178"/>
      <c r="I49" s="231">
        <f t="shared" si="0"/>
        <v>9700</v>
      </c>
    </row>
    <row r="50" spans="1:37" s="1" customFormat="1" ht="15" thickBot="1" x14ac:dyDescent="0.4">
      <c r="A50" s="82">
        <v>41</v>
      </c>
      <c r="B50" s="270"/>
      <c r="C50" s="108">
        <v>43412</v>
      </c>
      <c r="D50" s="26">
        <v>830054076</v>
      </c>
      <c r="E50" s="27" t="str">
        <f>VLOOKUP(D50,[1]TERCEROS!$A$2:$C$4000,3,FALSE)</f>
        <v>FIDEICOMISOS SOCIEDAD FIDUCIARIA</v>
      </c>
      <c r="F50" s="28" t="s">
        <v>33</v>
      </c>
      <c r="G50" s="29">
        <v>9700</v>
      </c>
      <c r="H50" s="178"/>
      <c r="I50" s="231">
        <f t="shared" si="0"/>
        <v>9700</v>
      </c>
    </row>
    <row r="51" spans="1:37" s="1" customFormat="1" ht="15" thickBot="1" x14ac:dyDescent="0.4">
      <c r="A51" s="82">
        <v>42</v>
      </c>
      <c r="B51" s="270"/>
      <c r="C51" s="108">
        <v>43431</v>
      </c>
      <c r="D51" s="26">
        <v>830054076</v>
      </c>
      <c r="E51" s="27" t="str">
        <f>VLOOKUP(D51,[1]TERCEROS!$A$2:$C$4000,3,FALSE)</f>
        <v>FIDEICOMISOS SOCIEDAD FIDUCIARIA</v>
      </c>
      <c r="F51" s="28" t="s">
        <v>33</v>
      </c>
      <c r="G51" s="29">
        <v>11600</v>
      </c>
      <c r="H51" s="178"/>
      <c r="I51" s="231">
        <f t="shared" si="0"/>
        <v>11600</v>
      </c>
    </row>
    <row r="52" spans="1:37" s="1" customFormat="1" ht="15" thickBot="1" x14ac:dyDescent="0.4">
      <c r="A52" s="82">
        <v>43</v>
      </c>
      <c r="B52" s="269"/>
      <c r="C52" s="132">
        <v>43430</v>
      </c>
      <c r="D52" s="91">
        <v>222222222</v>
      </c>
      <c r="E52" s="92" t="str">
        <f>VLOOKUP(D52,[1]TERCEROS!$A$2:$C$4000,3,FALSE)</f>
        <v>CUANTIAS MINIMAS</v>
      </c>
      <c r="F52" s="86" t="s">
        <v>97</v>
      </c>
      <c r="G52" s="87">
        <v>30700</v>
      </c>
      <c r="H52" s="180"/>
      <c r="I52" s="239">
        <f t="shared" si="0"/>
        <v>30700</v>
      </c>
    </row>
    <row r="53" spans="1:37" s="1" customFormat="1" ht="24.5" thickBot="1" x14ac:dyDescent="0.4">
      <c r="A53" s="82">
        <v>44</v>
      </c>
      <c r="B53" s="340" t="s">
        <v>369</v>
      </c>
      <c r="C53" s="107">
        <v>43432</v>
      </c>
      <c r="D53" s="17">
        <v>76207820</v>
      </c>
      <c r="E53" s="18" t="s">
        <v>576</v>
      </c>
      <c r="F53" s="19" t="s">
        <v>577</v>
      </c>
      <c r="G53" s="20">
        <v>50000</v>
      </c>
      <c r="H53" s="177"/>
      <c r="I53" s="267">
        <f t="shared" ref="I53:I56" si="1">G53+H53</f>
        <v>50000</v>
      </c>
    </row>
    <row r="54" spans="1:37" s="1" customFormat="1" ht="24.5" thickBot="1" x14ac:dyDescent="0.4">
      <c r="A54" s="82">
        <v>45</v>
      </c>
      <c r="B54" s="341"/>
      <c r="C54" s="203">
        <v>43432</v>
      </c>
      <c r="D54" s="120">
        <v>20993981</v>
      </c>
      <c r="E54" s="27" t="str">
        <f>VLOOKUP(D54,[1]TERCEROS!$A$2:$C$4000,3,FALSE)</f>
        <v>MARTA LUCIA GOMEZ HILARION</v>
      </c>
      <c r="F54" s="122" t="s">
        <v>577</v>
      </c>
      <c r="G54" s="123">
        <v>50000</v>
      </c>
      <c r="H54" s="178"/>
      <c r="I54" s="231">
        <f t="shared" si="0"/>
        <v>50000</v>
      </c>
    </row>
    <row r="55" spans="1:37" s="1" customFormat="1" ht="24.5" thickBot="1" x14ac:dyDescent="0.4">
      <c r="A55" s="82">
        <v>46</v>
      </c>
      <c r="B55" s="341"/>
      <c r="C55" s="203">
        <v>43432</v>
      </c>
      <c r="D55" s="120">
        <v>72277735</v>
      </c>
      <c r="E55" s="27" t="s">
        <v>578</v>
      </c>
      <c r="F55" s="122" t="s">
        <v>577</v>
      </c>
      <c r="G55" s="123">
        <v>50000</v>
      </c>
      <c r="H55" s="178"/>
      <c r="I55" s="231">
        <f t="shared" si="0"/>
        <v>50000</v>
      </c>
    </row>
    <row r="56" spans="1:37" s="1" customFormat="1" ht="15" thickBot="1" x14ac:dyDescent="0.4">
      <c r="A56" s="82">
        <v>47</v>
      </c>
      <c r="B56" s="341"/>
      <c r="C56" s="109">
        <v>43432</v>
      </c>
      <c r="D56" s="110">
        <v>1057597238</v>
      </c>
      <c r="E56" s="111" t="s">
        <v>574</v>
      </c>
      <c r="F56" s="112" t="s">
        <v>575</v>
      </c>
      <c r="G56" s="113">
        <v>200000</v>
      </c>
      <c r="H56" s="179"/>
      <c r="I56" s="268">
        <f t="shared" si="1"/>
        <v>200000</v>
      </c>
    </row>
    <row r="57" spans="1:37" s="2" customFormat="1" ht="15.75" customHeight="1" thickBot="1" x14ac:dyDescent="0.4">
      <c r="A57" s="327" t="s">
        <v>586</v>
      </c>
      <c r="B57" s="328"/>
      <c r="C57" s="329"/>
      <c r="D57" s="329"/>
      <c r="E57" s="330"/>
      <c r="F57" s="93" t="s">
        <v>24</v>
      </c>
      <c r="G57" s="94">
        <f>SUM(G10:G56)</f>
        <v>2646832</v>
      </c>
      <c r="H57" s="94">
        <f>SUM(H10:H56)</f>
        <v>189189.08000000002</v>
      </c>
      <c r="I57" s="94">
        <f>SUM(I10:I56)</f>
        <v>2836021.08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s="2" customFormat="1" ht="15" customHeight="1" x14ac:dyDescent="0.35">
      <c r="A58" s="300" t="s">
        <v>26</v>
      </c>
      <c r="B58" s="301"/>
      <c r="C58" s="301"/>
      <c r="D58" s="306" t="s">
        <v>58</v>
      </c>
      <c r="E58" s="307"/>
      <c r="F58" s="312"/>
      <c r="G58" s="315" t="s">
        <v>16</v>
      </c>
      <c r="H58" s="316"/>
      <c r="I58" s="35">
        <v>3000000</v>
      </c>
      <c r="J58" s="1"/>
      <c r="K58" s="1"/>
      <c r="L58" s="1"/>
      <c r="M58" s="2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s="2" customFormat="1" ht="15" customHeight="1" x14ac:dyDescent="0.35">
      <c r="A59" s="302"/>
      <c r="B59" s="303"/>
      <c r="C59" s="303"/>
      <c r="D59" s="308"/>
      <c r="E59" s="309"/>
      <c r="F59" s="313"/>
      <c r="G59" s="317" t="s">
        <v>17</v>
      </c>
      <c r="H59" s="318"/>
      <c r="I59" s="36">
        <f>+I58-I57</f>
        <v>163978.91999999993</v>
      </c>
      <c r="J59" s="1"/>
      <c r="K59" s="1"/>
      <c r="L59" s="1"/>
      <c r="M59" s="2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s="1" customFormat="1" ht="15.75" customHeight="1" thickBot="1" x14ac:dyDescent="0.4">
      <c r="A60" s="304"/>
      <c r="B60" s="305"/>
      <c r="C60" s="305"/>
      <c r="D60" s="310"/>
      <c r="E60" s="311"/>
      <c r="F60" s="314"/>
      <c r="G60" s="289" t="s">
        <v>5</v>
      </c>
      <c r="H60" s="290"/>
      <c r="I60" s="37">
        <f>+I58-I59</f>
        <v>2836021.08</v>
      </c>
    </row>
    <row r="61" spans="1:37" s="1" customFormat="1" ht="15" thickBot="1" x14ac:dyDescent="0.4">
      <c r="A61" s="291" t="s">
        <v>25</v>
      </c>
      <c r="B61" s="292"/>
      <c r="C61" s="292"/>
      <c r="D61" s="293"/>
      <c r="E61" s="38"/>
      <c r="F61" s="38"/>
      <c r="G61" s="38"/>
      <c r="H61" s="38"/>
      <c r="I61" s="39"/>
    </row>
    <row r="62" spans="1:37" s="1" customFormat="1" ht="15" thickBot="1" x14ac:dyDescent="0.4">
      <c r="A62" s="40"/>
      <c r="B62" s="41" t="s">
        <v>6</v>
      </c>
      <c r="C62" s="42">
        <f>+D77</f>
        <v>14000</v>
      </c>
      <c r="D62" s="39"/>
      <c r="E62" s="43">
        <f>C62+C64+I57</f>
        <v>3000021.08</v>
      </c>
      <c r="F62" s="43"/>
      <c r="G62" s="38"/>
      <c r="H62" s="38"/>
      <c r="I62" s="44"/>
    </row>
    <row r="63" spans="1:37" s="1" customFormat="1" ht="15" thickBot="1" x14ac:dyDescent="0.4">
      <c r="A63" s="40"/>
      <c r="B63" s="41" t="s">
        <v>117</v>
      </c>
      <c r="C63" s="45">
        <v>150000</v>
      </c>
      <c r="D63" s="39"/>
      <c r="E63" s="43">
        <f>+E62-I58</f>
        <v>21.080000000074506</v>
      </c>
      <c r="F63" s="38"/>
      <c r="G63" s="38"/>
      <c r="H63" s="38"/>
      <c r="I63" s="39"/>
    </row>
    <row r="64" spans="1:37" s="1" customFormat="1" ht="15" thickBot="1" x14ac:dyDescent="0.4">
      <c r="A64" s="40"/>
      <c r="B64" s="47" t="s">
        <v>7</v>
      </c>
      <c r="C64" s="45">
        <f>SUM(C63:C63)</f>
        <v>150000</v>
      </c>
      <c r="D64" s="39"/>
      <c r="E64" s="48"/>
      <c r="F64" s="48"/>
      <c r="G64" s="48"/>
      <c r="H64" s="48"/>
      <c r="I64" s="49"/>
    </row>
    <row r="65" spans="1:37" s="1" customFormat="1" ht="15" thickBot="1" x14ac:dyDescent="0.4">
      <c r="A65" s="40"/>
      <c r="B65" s="50"/>
      <c r="C65" s="51"/>
      <c r="D65" s="39"/>
      <c r="E65" s="48"/>
      <c r="F65" s="48"/>
      <c r="G65" s="48"/>
      <c r="H65" s="48"/>
      <c r="I65" s="49"/>
    </row>
    <row r="66" spans="1:37" s="1" customFormat="1" ht="15" thickBot="1" x14ac:dyDescent="0.4">
      <c r="A66" s="40"/>
      <c r="B66" s="52"/>
      <c r="C66" s="53" t="s">
        <v>11</v>
      </c>
      <c r="D66" s="54" t="s">
        <v>4</v>
      </c>
      <c r="E66" s="38"/>
      <c r="F66" s="55"/>
      <c r="G66" s="38"/>
      <c r="H66" s="38"/>
      <c r="I66" s="39"/>
    </row>
    <row r="67" spans="1:37" s="1" customFormat="1" ht="14.5" x14ac:dyDescent="0.35">
      <c r="A67" s="40"/>
      <c r="B67" s="56"/>
      <c r="C67" s="57">
        <v>50000</v>
      </c>
      <c r="D67" s="58">
        <f t="shared" ref="D67:D76" si="2">+C67*B67</f>
        <v>0</v>
      </c>
      <c r="E67" s="261" t="s">
        <v>29</v>
      </c>
      <c r="F67" s="60" t="s">
        <v>27</v>
      </c>
      <c r="G67" s="294" t="s">
        <v>28</v>
      </c>
      <c r="H67" s="294"/>
      <c r="I67" s="295"/>
    </row>
    <row r="68" spans="1:37" s="5" customFormat="1" ht="15" customHeight="1" x14ac:dyDescent="0.35">
      <c r="A68" s="40"/>
      <c r="B68" s="62"/>
      <c r="C68" s="63">
        <v>20000</v>
      </c>
      <c r="D68" s="58">
        <f t="shared" si="2"/>
        <v>0</v>
      </c>
      <c r="E68" s="262" t="s">
        <v>19</v>
      </c>
      <c r="F68" s="262" t="s">
        <v>20</v>
      </c>
      <c r="G68" s="296" t="s">
        <v>21</v>
      </c>
      <c r="H68" s="296"/>
      <c r="I68" s="29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s="5" customFormat="1" ht="15" customHeight="1" x14ac:dyDescent="0.35">
      <c r="A69" s="40"/>
      <c r="B69" s="62">
        <v>1</v>
      </c>
      <c r="C69" s="63">
        <v>10000</v>
      </c>
      <c r="D69" s="58">
        <f t="shared" si="2"/>
        <v>10000</v>
      </c>
      <c r="E69" s="263" t="s">
        <v>79</v>
      </c>
      <c r="F69" s="263" t="s">
        <v>80</v>
      </c>
      <c r="G69" s="298" t="s">
        <v>81</v>
      </c>
      <c r="H69" s="298"/>
      <c r="I69" s="29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s="5" customFormat="1" ht="15" customHeight="1" x14ac:dyDescent="0.35">
      <c r="A70" s="40"/>
      <c r="B70" s="62"/>
      <c r="C70" s="63">
        <v>5000</v>
      </c>
      <c r="D70" s="58">
        <f t="shared" si="2"/>
        <v>0</v>
      </c>
      <c r="E70" s="38" t="s">
        <v>0</v>
      </c>
      <c r="F70" s="38"/>
      <c r="G70" s="38"/>
      <c r="H70" s="38"/>
      <c r="I70" s="3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s="5" customFormat="1" ht="15" customHeight="1" x14ac:dyDescent="0.35">
      <c r="A71" s="40"/>
      <c r="B71" s="62"/>
      <c r="C71" s="63">
        <v>2000</v>
      </c>
      <c r="D71" s="58">
        <f t="shared" si="2"/>
        <v>0</v>
      </c>
      <c r="E71" s="38"/>
      <c r="F71" s="38" t="s">
        <v>8</v>
      </c>
      <c r="G71" s="38"/>
      <c r="H71" s="38"/>
      <c r="I71" s="3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s="5" customFormat="1" ht="15" customHeight="1" x14ac:dyDescent="0.35">
      <c r="A72" s="40"/>
      <c r="B72" s="62">
        <v>2</v>
      </c>
      <c r="C72" s="63">
        <v>1000</v>
      </c>
      <c r="D72" s="58">
        <f t="shared" si="2"/>
        <v>2000</v>
      </c>
      <c r="E72" s="38"/>
      <c r="F72" s="38"/>
      <c r="G72" s="38"/>
      <c r="H72" s="38"/>
      <c r="I72" s="3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s="1" customFormat="1" ht="15" customHeight="1" x14ac:dyDescent="0.35">
      <c r="A73" s="40"/>
      <c r="B73" s="62">
        <v>3</v>
      </c>
      <c r="C73" s="63">
        <v>500</v>
      </c>
      <c r="D73" s="58">
        <f t="shared" si="2"/>
        <v>1500</v>
      </c>
      <c r="E73" s="38"/>
      <c r="F73" s="38"/>
      <c r="G73" s="38"/>
      <c r="H73" s="38"/>
      <c r="I73" s="39"/>
    </row>
    <row r="74" spans="1:37" s="1" customFormat="1" ht="15" customHeight="1" x14ac:dyDescent="0.35">
      <c r="A74" s="40"/>
      <c r="B74" s="62">
        <v>2</v>
      </c>
      <c r="C74" s="63">
        <v>200</v>
      </c>
      <c r="D74" s="58">
        <f t="shared" si="2"/>
        <v>400</v>
      </c>
      <c r="E74" s="38"/>
      <c r="F74" s="38"/>
      <c r="G74" s="38"/>
      <c r="H74" s="38"/>
      <c r="I74" s="39"/>
    </row>
    <row r="75" spans="1:37" s="1" customFormat="1" ht="15" customHeight="1" x14ac:dyDescent="0.35">
      <c r="A75" s="40"/>
      <c r="B75" s="62">
        <v>1</v>
      </c>
      <c r="C75" s="63">
        <v>100</v>
      </c>
      <c r="D75" s="58">
        <f>+C75*B75</f>
        <v>100</v>
      </c>
      <c r="E75" s="38"/>
      <c r="F75" s="43"/>
      <c r="G75" s="38"/>
      <c r="H75" s="38"/>
      <c r="I75" s="39"/>
    </row>
    <row r="76" spans="1:37" s="5" customFormat="1" ht="15" customHeight="1" thickBot="1" x14ac:dyDescent="0.4">
      <c r="A76" s="40"/>
      <c r="B76" s="68"/>
      <c r="C76" s="69">
        <v>50</v>
      </c>
      <c r="D76" s="58">
        <f t="shared" si="2"/>
        <v>0</v>
      </c>
      <c r="E76" s="38"/>
      <c r="F76" s="38"/>
      <c r="G76" s="38"/>
      <c r="H76" s="38"/>
      <c r="I76" s="3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s="1" customFormat="1" ht="15" customHeight="1" thickBot="1" x14ac:dyDescent="0.4">
      <c r="A77" s="40"/>
      <c r="B77" s="261"/>
      <c r="C77" s="70"/>
      <c r="D77" s="71">
        <f>SUM(D67:D76)</f>
        <v>14000</v>
      </c>
      <c r="E77" s="38"/>
      <c r="F77" s="38"/>
      <c r="G77" s="38"/>
      <c r="H77" s="38"/>
      <c r="I77" s="39"/>
    </row>
    <row r="78" spans="1:37" s="5" customFormat="1" ht="15" customHeight="1" thickBot="1" x14ac:dyDescent="0.4">
      <c r="A78" s="72"/>
      <c r="B78" s="73"/>
      <c r="C78" s="74"/>
      <c r="D78" s="75"/>
      <c r="E78" s="76"/>
      <c r="F78" s="76"/>
      <c r="G78" s="76"/>
      <c r="H78" s="76"/>
      <c r="I78" s="7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s="5" customFormat="1" ht="22.5" customHeight="1" x14ac:dyDescent="0.35">
      <c r="A79" s="1"/>
      <c r="B79"/>
      <c r="C79" s="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s="3" customFormat="1" ht="22.5" customHeight="1" x14ac:dyDescent="0.35">
      <c r="A80"/>
      <c r="B80"/>
      <c r="C80" s="6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 spans="1:37" s="3" customFormat="1" ht="22.5" customHeight="1" x14ac:dyDescent="0.35">
      <c r="A81"/>
      <c r="B81"/>
      <c r="C81" s="6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3" customFormat="1" ht="22.5" customHeight="1" x14ac:dyDescent="0.35">
      <c r="A82"/>
      <c r="B82"/>
      <c r="C82" s="6"/>
      <c r="D82" s="7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</sheetData>
  <autoFilter ref="C9:J64"/>
  <mergeCells count="27">
    <mergeCell ref="A1:B6"/>
    <mergeCell ref="C1:F3"/>
    <mergeCell ref="G1:I2"/>
    <mergeCell ref="G3:I4"/>
    <mergeCell ref="C4:F6"/>
    <mergeCell ref="G5:I6"/>
    <mergeCell ref="B53:B56"/>
    <mergeCell ref="A57:E57"/>
    <mergeCell ref="A7:B7"/>
    <mergeCell ref="C7:I7"/>
    <mergeCell ref="A8:I8"/>
    <mergeCell ref="B11:B14"/>
    <mergeCell ref="B16:B19"/>
    <mergeCell ref="B20:B21"/>
    <mergeCell ref="B22:B27"/>
    <mergeCell ref="B28:B31"/>
    <mergeCell ref="B34:B43"/>
    <mergeCell ref="A61:D61"/>
    <mergeCell ref="G67:I67"/>
    <mergeCell ref="G68:I68"/>
    <mergeCell ref="G69:I69"/>
    <mergeCell ref="A58:C60"/>
    <mergeCell ref="D58:E60"/>
    <mergeCell ref="F58:F60"/>
    <mergeCell ref="G58:H58"/>
    <mergeCell ref="G59:H59"/>
    <mergeCell ref="G60:H60"/>
  </mergeCells>
  <pageMargins left="0.7" right="0.7" top="0.75" bottom="0.75" header="0.3" footer="0.3"/>
  <pageSetup scale="5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2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3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4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113"/>
  <sheetViews>
    <sheetView showGridLines="0" topLeftCell="A64" workbookViewId="0">
      <selection activeCell="I109" sqref="A1:I109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43444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74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74" t="str">
        <f>IF(K14=1,"IVA","TRM")</f>
        <v>IVA</v>
      </c>
      <c r="I9" s="14" t="s">
        <v>4</v>
      </c>
    </row>
    <row r="10" spans="1:12" s="1" customFormat="1" ht="15" thickBot="1" x14ac:dyDescent="0.4">
      <c r="A10" s="82">
        <v>1</v>
      </c>
      <c r="B10" s="340" t="s">
        <v>396</v>
      </c>
      <c r="C10" s="107">
        <v>43436</v>
      </c>
      <c r="D10" s="17">
        <v>900491889</v>
      </c>
      <c r="E10" s="27" t="str">
        <f>VLOOKUP(D10,[1]TERCEROS!$A$2:$C$4000,3,FALSE)</f>
        <v>EDS TERMINAL NEIVA</v>
      </c>
      <c r="F10" s="19" t="s">
        <v>272</v>
      </c>
      <c r="G10" s="20">
        <v>42800</v>
      </c>
      <c r="H10" s="177"/>
      <c r="I10" s="230">
        <f>IF($K$14=1,G10+H10,G10*H10)</f>
        <v>42800</v>
      </c>
    </row>
    <row r="11" spans="1:12" s="1" customFormat="1" ht="15" thickBot="1" x14ac:dyDescent="0.4">
      <c r="A11" s="82">
        <v>2</v>
      </c>
      <c r="B11" s="341"/>
      <c r="C11" s="108">
        <v>43438</v>
      </c>
      <c r="D11" s="26">
        <v>52272205</v>
      </c>
      <c r="E11" s="27" t="s">
        <v>587</v>
      </c>
      <c r="F11" s="28" t="s">
        <v>588</v>
      </c>
      <c r="G11" s="29">
        <v>542000</v>
      </c>
      <c r="H11" s="178"/>
      <c r="I11" s="231">
        <f>IF($K$14=1,G11+H11,G11*H11)</f>
        <v>542000</v>
      </c>
    </row>
    <row r="12" spans="1:12" s="1" customFormat="1" ht="15" thickBot="1" x14ac:dyDescent="0.4">
      <c r="A12" s="82">
        <v>3</v>
      </c>
      <c r="B12" s="9" t="s">
        <v>591</v>
      </c>
      <c r="C12" s="108">
        <v>43433</v>
      </c>
      <c r="D12" s="26">
        <v>11253502</v>
      </c>
      <c r="E12" s="27" t="s">
        <v>589</v>
      </c>
      <c r="F12" s="28" t="s">
        <v>590</v>
      </c>
      <c r="G12" s="29">
        <v>200000</v>
      </c>
      <c r="H12" s="178"/>
      <c r="I12" s="231">
        <f t="shared" ref="I12:I85" si="0">IF($K$14=1,G12+H12,G12*H12)</f>
        <v>200000</v>
      </c>
    </row>
    <row r="13" spans="1:12" s="1" customFormat="1" ht="15" thickBot="1" x14ac:dyDescent="0.4">
      <c r="A13" s="82">
        <v>4</v>
      </c>
      <c r="B13" s="275" t="s">
        <v>241</v>
      </c>
      <c r="C13" s="108">
        <v>43437</v>
      </c>
      <c r="D13" s="26">
        <v>22222222</v>
      </c>
      <c r="E13" s="27" t="s">
        <v>592</v>
      </c>
      <c r="F13" s="28" t="s">
        <v>499</v>
      </c>
      <c r="G13" s="29">
        <v>50000</v>
      </c>
      <c r="H13" s="178"/>
      <c r="I13" s="231">
        <f t="shared" si="0"/>
        <v>50000</v>
      </c>
    </row>
    <row r="14" spans="1:12" s="1" customFormat="1" ht="15" thickBot="1" x14ac:dyDescent="0.4">
      <c r="A14" s="82">
        <v>5</v>
      </c>
      <c r="B14" s="340" t="s">
        <v>396</v>
      </c>
      <c r="C14" s="108">
        <v>43434</v>
      </c>
      <c r="D14" s="26">
        <v>900491889</v>
      </c>
      <c r="E14" s="27" t="str">
        <f>VLOOKUP(D14,[1]TERCEROS!$A$2:$C$4000,3,FALSE)</f>
        <v>EDS TERMINAL NEIVA</v>
      </c>
      <c r="F14" s="28" t="s">
        <v>34</v>
      </c>
      <c r="G14" s="29">
        <v>50000</v>
      </c>
      <c r="H14" s="178">
        <v>0</v>
      </c>
      <c r="I14" s="231">
        <f t="shared" si="0"/>
        <v>50000</v>
      </c>
      <c r="K14" s="1">
        <v>1</v>
      </c>
    </row>
    <row r="15" spans="1:12" s="1" customFormat="1" ht="15" thickBot="1" x14ac:dyDescent="0.4">
      <c r="A15" s="82">
        <v>6</v>
      </c>
      <c r="B15" s="341"/>
      <c r="C15" s="108">
        <v>43437</v>
      </c>
      <c r="D15" s="26">
        <v>830054076</v>
      </c>
      <c r="E15" s="27" t="str">
        <f>VLOOKUP(D15,[1]TERCEROS!$A$2:$C$4000,3,FALSE)</f>
        <v>FIDEICOMISOS SOCIEDAD FIDUCIARIA</v>
      </c>
      <c r="F15" s="28" t="s">
        <v>33</v>
      </c>
      <c r="G15" s="29">
        <v>9700</v>
      </c>
      <c r="H15" s="178"/>
      <c r="I15" s="231">
        <f t="shared" si="0"/>
        <v>9700</v>
      </c>
    </row>
    <row r="16" spans="1:12" s="1" customFormat="1" ht="15" thickBot="1" x14ac:dyDescent="0.4">
      <c r="A16" s="82">
        <v>7</v>
      </c>
      <c r="B16" s="341"/>
      <c r="C16" s="108">
        <v>43436</v>
      </c>
      <c r="D16" s="26">
        <v>11442335</v>
      </c>
      <c r="E16" s="27" t="s">
        <v>326</v>
      </c>
      <c r="F16" s="28" t="s">
        <v>105</v>
      </c>
      <c r="G16" s="29">
        <v>80600</v>
      </c>
      <c r="H16" s="178"/>
      <c r="I16" s="231">
        <f t="shared" si="0"/>
        <v>80600</v>
      </c>
    </row>
    <row r="17" spans="1:9" s="1" customFormat="1" ht="15" thickBot="1" x14ac:dyDescent="0.4">
      <c r="A17" s="82">
        <v>8</v>
      </c>
      <c r="B17" s="341"/>
      <c r="C17" s="108">
        <v>43436</v>
      </c>
      <c r="D17" s="26">
        <v>900491889</v>
      </c>
      <c r="E17" s="27" t="str">
        <f>VLOOKUP(D17,[1]TERCEROS!$A$2:$C$4000,3,FALSE)</f>
        <v>EDS TERMINAL NEIVA</v>
      </c>
      <c r="F17" s="28" t="s">
        <v>105</v>
      </c>
      <c r="G17" s="29">
        <v>20400</v>
      </c>
      <c r="H17" s="178"/>
      <c r="I17" s="231">
        <f t="shared" si="0"/>
        <v>20400</v>
      </c>
    </row>
    <row r="18" spans="1:9" s="1" customFormat="1" ht="15" thickBot="1" x14ac:dyDescent="0.4">
      <c r="A18" s="82">
        <v>9</v>
      </c>
      <c r="B18" s="341"/>
      <c r="C18" s="108">
        <v>43435</v>
      </c>
      <c r="D18" s="26">
        <v>900491889</v>
      </c>
      <c r="E18" s="27" t="str">
        <f>VLOOKUP(D18,[1]TERCEROS!$A$2:$C$4000,3,FALSE)</f>
        <v>EDS TERMINAL NEIVA</v>
      </c>
      <c r="F18" s="28" t="s">
        <v>105</v>
      </c>
      <c r="G18" s="29">
        <v>20200</v>
      </c>
      <c r="H18" s="178"/>
      <c r="I18" s="231">
        <f t="shared" si="0"/>
        <v>20200</v>
      </c>
    </row>
    <row r="19" spans="1:9" s="1" customFormat="1" ht="15" thickBot="1" x14ac:dyDescent="0.4">
      <c r="A19" s="82">
        <v>10</v>
      </c>
      <c r="B19" s="341"/>
      <c r="C19" s="108">
        <v>43441</v>
      </c>
      <c r="D19" s="26">
        <v>830054076</v>
      </c>
      <c r="E19" s="27" t="str">
        <f>VLOOKUP(D19,[1]TERCEROS!$A$2:$C$4000,3,FALSE)</f>
        <v>FIDEICOMISOS SOCIEDAD FIDUCIARIA</v>
      </c>
      <c r="F19" s="28" t="s">
        <v>33</v>
      </c>
      <c r="G19" s="29">
        <v>9700</v>
      </c>
      <c r="H19" s="178"/>
      <c r="I19" s="231">
        <f t="shared" si="0"/>
        <v>9700</v>
      </c>
    </row>
    <row r="20" spans="1:9" s="1" customFormat="1" ht="15" thickBot="1" x14ac:dyDescent="0.4">
      <c r="A20" s="82">
        <v>11</v>
      </c>
      <c r="B20" s="341"/>
      <c r="C20" s="108">
        <v>43440</v>
      </c>
      <c r="D20" s="26">
        <v>830054076</v>
      </c>
      <c r="E20" s="27" t="str">
        <f>VLOOKUP(D20,[1]TERCEROS!$A$2:$C$4000,3,FALSE)</f>
        <v>FIDEICOMISOS SOCIEDAD FIDUCIARIA</v>
      </c>
      <c r="F20" s="28" t="s">
        <v>33</v>
      </c>
      <c r="G20" s="29">
        <v>9700</v>
      </c>
      <c r="H20" s="178"/>
      <c r="I20" s="231">
        <f t="shared" si="0"/>
        <v>9700</v>
      </c>
    </row>
    <row r="21" spans="1:9" s="1" customFormat="1" ht="15" thickBot="1" x14ac:dyDescent="0.4">
      <c r="A21" s="82">
        <v>12</v>
      </c>
      <c r="B21" s="341"/>
      <c r="C21" s="108">
        <v>43440</v>
      </c>
      <c r="D21" s="26">
        <v>900491889</v>
      </c>
      <c r="E21" s="27" t="str">
        <f>VLOOKUP(D21,[1]TERCEROS!$A$2:$C$4000,3,FALSE)</f>
        <v>EDS TERMINAL NEIVA</v>
      </c>
      <c r="F21" s="28" t="s">
        <v>34</v>
      </c>
      <c r="G21" s="29">
        <v>50000</v>
      </c>
      <c r="H21" s="178"/>
      <c r="I21" s="231">
        <f t="shared" si="0"/>
        <v>50000</v>
      </c>
    </row>
    <row r="22" spans="1:9" s="1" customFormat="1" ht="15" thickBot="1" x14ac:dyDescent="0.4">
      <c r="A22" s="82">
        <v>13</v>
      </c>
      <c r="B22" s="341"/>
      <c r="C22" s="108">
        <v>43431</v>
      </c>
      <c r="D22" s="26">
        <v>1077920942</v>
      </c>
      <c r="E22" s="27" t="s">
        <v>593</v>
      </c>
      <c r="F22" s="28" t="s">
        <v>35</v>
      </c>
      <c r="G22" s="29">
        <v>10000</v>
      </c>
      <c r="H22" s="178">
        <v>0</v>
      </c>
      <c r="I22" s="231">
        <f t="shared" si="0"/>
        <v>10000</v>
      </c>
    </row>
    <row r="23" spans="1:9" s="1" customFormat="1" ht="15" thickBot="1" x14ac:dyDescent="0.4">
      <c r="A23" s="82">
        <v>14</v>
      </c>
      <c r="B23" s="341"/>
      <c r="C23" s="108">
        <v>43437</v>
      </c>
      <c r="D23" s="26">
        <v>900491889</v>
      </c>
      <c r="E23" s="27" t="str">
        <f>VLOOKUP(D23,[1]TERCEROS!$A$2:$C$4000,3,FALSE)</f>
        <v>EDS TERMINAL NEIVA</v>
      </c>
      <c r="F23" s="28" t="s">
        <v>34</v>
      </c>
      <c r="G23" s="29">
        <v>15000</v>
      </c>
      <c r="H23" s="178">
        <v>0</v>
      </c>
      <c r="I23" s="231">
        <f t="shared" si="0"/>
        <v>15000</v>
      </c>
    </row>
    <row r="24" spans="1:9" s="1" customFormat="1" ht="15" thickBot="1" x14ac:dyDescent="0.4">
      <c r="A24" s="82">
        <v>15</v>
      </c>
      <c r="B24" s="341"/>
      <c r="C24" s="108">
        <v>43437</v>
      </c>
      <c r="D24" s="26">
        <v>830054076</v>
      </c>
      <c r="E24" s="27" t="str">
        <f>VLOOKUP(D24,[1]TERCEROS!$A$2:$C$4000,3,FALSE)</f>
        <v>FIDEICOMISOS SOCIEDAD FIDUCIARIA</v>
      </c>
      <c r="F24" s="28" t="s">
        <v>33</v>
      </c>
      <c r="G24" s="29">
        <v>9700</v>
      </c>
      <c r="H24" s="178"/>
      <c r="I24" s="231">
        <f t="shared" si="0"/>
        <v>9700</v>
      </c>
    </row>
    <row r="25" spans="1:9" s="1" customFormat="1" ht="15" thickBot="1" x14ac:dyDescent="0.4">
      <c r="A25" s="82">
        <v>16</v>
      </c>
      <c r="B25" s="341"/>
      <c r="C25" s="108">
        <v>43437</v>
      </c>
      <c r="D25" s="26">
        <v>830054076</v>
      </c>
      <c r="E25" s="27" t="str">
        <f>VLOOKUP(D25,[1]TERCEROS!$A$2:$C$4000,3,FALSE)</f>
        <v>FIDEICOMISOS SOCIEDAD FIDUCIARIA</v>
      </c>
      <c r="F25" s="28" t="s">
        <v>33</v>
      </c>
      <c r="G25" s="29">
        <v>9700</v>
      </c>
      <c r="H25" s="178"/>
      <c r="I25" s="231">
        <f>IF($K$14=1,G25+H25,G25*H25)</f>
        <v>9700</v>
      </c>
    </row>
    <row r="26" spans="1:9" s="1" customFormat="1" ht="15" thickBot="1" x14ac:dyDescent="0.4">
      <c r="A26" s="82">
        <v>17</v>
      </c>
      <c r="B26" s="341"/>
      <c r="C26" s="108">
        <v>43433</v>
      </c>
      <c r="D26" s="26">
        <v>830054076</v>
      </c>
      <c r="E26" s="27" t="str">
        <f>VLOOKUP(D26,[1]TERCEROS!$A$2:$C$4000,3,FALSE)</f>
        <v>FIDEICOMISOS SOCIEDAD FIDUCIARIA</v>
      </c>
      <c r="F26" s="28" t="s">
        <v>33</v>
      </c>
      <c r="G26" s="29">
        <v>9700</v>
      </c>
      <c r="H26" s="178"/>
      <c r="I26" s="231">
        <f t="shared" si="0"/>
        <v>9700</v>
      </c>
    </row>
    <row r="27" spans="1:9" s="1" customFormat="1" ht="15" thickBot="1" x14ac:dyDescent="0.4">
      <c r="A27" s="82">
        <v>18</v>
      </c>
      <c r="B27" s="341"/>
      <c r="C27" s="108">
        <v>43434</v>
      </c>
      <c r="D27" s="26">
        <v>830054076</v>
      </c>
      <c r="E27" s="27" t="str">
        <f>VLOOKUP(D27,[1]TERCEROS!$A$2:$C$4000,3,FALSE)</f>
        <v>FIDEICOMISOS SOCIEDAD FIDUCIARIA</v>
      </c>
      <c r="F27" s="28" t="s">
        <v>33</v>
      </c>
      <c r="G27" s="29">
        <v>9700</v>
      </c>
      <c r="H27" s="178"/>
      <c r="I27" s="231">
        <f t="shared" si="0"/>
        <v>9700</v>
      </c>
    </row>
    <row r="28" spans="1:9" s="1" customFormat="1" ht="15" thickBot="1" x14ac:dyDescent="0.4">
      <c r="A28" s="82">
        <v>19</v>
      </c>
      <c r="B28" s="341"/>
      <c r="C28" s="108">
        <v>43434</v>
      </c>
      <c r="D28" s="26">
        <v>830054076</v>
      </c>
      <c r="E28" s="27" t="str">
        <f>VLOOKUP(D28,[1]TERCEROS!$A$2:$C$4000,3,FALSE)</f>
        <v>FIDEICOMISOS SOCIEDAD FIDUCIARIA</v>
      </c>
      <c r="F28" s="28" t="s">
        <v>33</v>
      </c>
      <c r="G28" s="29">
        <v>9700</v>
      </c>
      <c r="H28" s="178"/>
      <c r="I28" s="231">
        <f t="shared" si="0"/>
        <v>9700</v>
      </c>
    </row>
    <row r="29" spans="1:9" s="1" customFormat="1" ht="15" thickBot="1" x14ac:dyDescent="0.4">
      <c r="A29" s="82">
        <v>20</v>
      </c>
      <c r="B29" s="341"/>
      <c r="C29" s="108">
        <v>43433</v>
      </c>
      <c r="D29" s="26">
        <v>830054076</v>
      </c>
      <c r="E29" s="27" t="str">
        <f>VLOOKUP(D29,[1]TERCEROS!$A$2:$C$4000,3,FALSE)</f>
        <v>FIDEICOMISOS SOCIEDAD FIDUCIARIA</v>
      </c>
      <c r="F29" s="28" t="s">
        <v>33</v>
      </c>
      <c r="G29" s="29">
        <v>9700</v>
      </c>
      <c r="H29" s="178"/>
      <c r="I29" s="231">
        <f t="shared" si="0"/>
        <v>9700</v>
      </c>
    </row>
    <row r="30" spans="1:9" s="1" customFormat="1" ht="15" thickBot="1" x14ac:dyDescent="0.4">
      <c r="A30" s="82">
        <v>21</v>
      </c>
      <c r="B30" s="341"/>
      <c r="C30" s="108">
        <v>43434</v>
      </c>
      <c r="D30" s="26">
        <v>830054076</v>
      </c>
      <c r="E30" s="27" t="str">
        <f>VLOOKUP(D30,[1]TERCEROS!$A$2:$C$4000,3,FALSE)</f>
        <v>FIDEICOMISOS SOCIEDAD FIDUCIARIA</v>
      </c>
      <c r="F30" s="28" t="s">
        <v>33</v>
      </c>
      <c r="G30" s="29">
        <v>9700</v>
      </c>
      <c r="H30" s="178"/>
      <c r="I30" s="231">
        <f t="shared" si="0"/>
        <v>9700</v>
      </c>
    </row>
    <row r="31" spans="1:9" s="1" customFormat="1" ht="15" thickBot="1" x14ac:dyDescent="0.4">
      <c r="A31" s="82">
        <v>22</v>
      </c>
      <c r="B31" s="341"/>
      <c r="C31" s="108">
        <v>43434</v>
      </c>
      <c r="D31" s="26">
        <v>830054076</v>
      </c>
      <c r="E31" s="27" t="str">
        <f>VLOOKUP(D31,[1]TERCEROS!$A$2:$C$4000,3,FALSE)</f>
        <v>FIDEICOMISOS SOCIEDAD FIDUCIARIA</v>
      </c>
      <c r="F31" s="28" t="s">
        <v>33</v>
      </c>
      <c r="G31" s="29">
        <v>9700</v>
      </c>
      <c r="H31" s="178"/>
      <c r="I31" s="231">
        <f t="shared" si="0"/>
        <v>9700</v>
      </c>
    </row>
    <row r="32" spans="1:9" s="1" customFormat="1" ht="15" thickBot="1" x14ac:dyDescent="0.4">
      <c r="A32" s="82">
        <v>23</v>
      </c>
      <c r="B32" s="341"/>
      <c r="C32" s="108">
        <v>43432</v>
      </c>
      <c r="D32" s="26">
        <v>830054076</v>
      </c>
      <c r="E32" s="27" t="str">
        <f>VLOOKUP(D32,[1]TERCEROS!$A$2:$C$4000,3,FALSE)</f>
        <v>FIDEICOMISOS SOCIEDAD FIDUCIARIA</v>
      </c>
      <c r="F32" s="28" t="s">
        <v>33</v>
      </c>
      <c r="G32" s="29">
        <v>9700</v>
      </c>
      <c r="H32" s="178"/>
      <c r="I32" s="231">
        <f t="shared" si="0"/>
        <v>9700</v>
      </c>
    </row>
    <row r="33" spans="1:9" s="1" customFormat="1" ht="15" thickBot="1" x14ac:dyDescent="0.4">
      <c r="A33" s="82">
        <v>24</v>
      </c>
      <c r="B33" s="341"/>
      <c r="C33" s="108">
        <v>43427</v>
      </c>
      <c r="D33" s="26">
        <v>830054076</v>
      </c>
      <c r="E33" s="27" t="str">
        <f>VLOOKUP(D33,[1]TERCEROS!$A$2:$C$4000,3,FALSE)</f>
        <v>FIDEICOMISOS SOCIEDAD FIDUCIARIA</v>
      </c>
      <c r="F33" s="28" t="s">
        <v>33</v>
      </c>
      <c r="G33" s="29">
        <v>9700</v>
      </c>
      <c r="H33" s="178"/>
      <c r="I33" s="231">
        <f t="shared" si="0"/>
        <v>9700</v>
      </c>
    </row>
    <row r="34" spans="1:9" s="1" customFormat="1" ht="15" thickBot="1" x14ac:dyDescent="0.4">
      <c r="A34" s="82">
        <v>25</v>
      </c>
      <c r="B34" s="341"/>
      <c r="C34" s="108">
        <v>43438</v>
      </c>
      <c r="D34" s="26">
        <v>830054076</v>
      </c>
      <c r="E34" s="27" t="str">
        <f>VLOOKUP(D34,[1]TERCEROS!$A$2:$C$4000,3,FALSE)</f>
        <v>FIDEICOMISOS SOCIEDAD FIDUCIARIA</v>
      </c>
      <c r="F34" s="28" t="s">
        <v>33</v>
      </c>
      <c r="G34" s="29">
        <v>9700</v>
      </c>
      <c r="H34" s="178"/>
      <c r="I34" s="231">
        <f t="shared" si="0"/>
        <v>9700</v>
      </c>
    </row>
    <row r="35" spans="1:9" s="1" customFormat="1" ht="15" thickBot="1" x14ac:dyDescent="0.4">
      <c r="A35" s="82">
        <v>26</v>
      </c>
      <c r="B35" s="341"/>
      <c r="C35" s="108">
        <v>43438</v>
      </c>
      <c r="D35" s="26">
        <v>830054076</v>
      </c>
      <c r="E35" s="27" t="str">
        <f>VLOOKUP(D35,[1]TERCEROS!$A$2:$C$4000,3,FALSE)</f>
        <v>FIDEICOMISOS SOCIEDAD FIDUCIARIA</v>
      </c>
      <c r="F35" s="28" t="s">
        <v>33</v>
      </c>
      <c r="G35" s="29">
        <v>9700</v>
      </c>
      <c r="H35" s="178"/>
      <c r="I35" s="231">
        <f t="shared" si="0"/>
        <v>9700</v>
      </c>
    </row>
    <row r="36" spans="1:9" s="1" customFormat="1" ht="15" thickBot="1" x14ac:dyDescent="0.4">
      <c r="A36" s="82">
        <v>27</v>
      </c>
      <c r="B36" s="341"/>
      <c r="C36" s="108">
        <v>43425</v>
      </c>
      <c r="D36" s="26">
        <v>830054076</v>
      </c>
      <c r="E36" s="27" t="str">
        <f>VLOOKUP(D36,[1]TERCEROS!$A$2:$C$4000,3,FALSE)</f>
        <v>FIDEICOMISOS SOCIEDAD FIDUCIARIA</v>
      </c>
      <c r="F36" s="28" t="s">
        <v>33</v>
      </c>
      <c r="G36" s="29">
        <v>9700</v>
      </c>
      <c r="H36" s="178"/>
      <c r="I36" s="231">
        <f t="shared" si="0"/>
        <v>9700</v>
      </c>
    </row>
    <row r="37" spans="1:9" s="1" customFormat="1" ht="15" thickBot="1" x14ac:dyDescent="0.4">
      <c r="A37" s="82">
        <v>28</v>
      </c>
      <c r="B37" s="341"/>
      <c r="C37" s="108">
        <v>43432</v>
      </c>
      <c r="D37" s="26">
        <v>830054076</v>
      </c>
      <c r="E37" s="27" t="str">
        <f>VLOOKUP(D37,[1]TERCEROS!$A$2:$C$4000,3,FALSE)</f>
        <v>FIDEICOMISOS SOCIEDAD FIDUCIARIA</v>
      </c>
      <c r="F37" s="28" t="s">
        <v>33</v>
      </c>
      <c r="G37" s="29">
        <v>9700</v>
      </c>
      <c r="H37" s="178"/>
      <c r="I37" s="231">
        <f t="shared" si="0"/>
        <v>9700</v>
      </c>
    </row>
    <row r="38" spans="1:9" s="1" customFormat="1" ht="15" thickBot="1" x14ac:dyDescent="0.4">
      <c r="A38" s="82">
        <v>29</v>
      </c>
      <c r="B38" s="341"/>
      <c r="C38" s="108">
        <v>43435</v>
      </c>
      <c r="D38" s="26">
        <v>830054076</v>
      </c>
      <c r="E38" s="27" t="str">
        <f>VLOOKUP(D38,[1]TERCEROS!$A$2:$C$4000,3,FALSE)</f>
        <v>FIDEICOMISOS SOCIEDAD FIDUCIARIA</v>
      </c>
      <c r="F38" s="28" t="s">
        <v>33</v>
      </c>
      <c r="G38" s="29">
        <v>9700</v>
      </c>
      <c r="H38" s="178"/>
      <c r="I38" s="231">
        <f t="shared" si="0"/>
        <v>9700</v>
      </c>
    </row>
    <row r="39" spans="1:9" s="1" customFormat="1" ht="15" thickBot="1" x14ac:dyDescent="0.4">
      <c r="A39" s="82">
        <v>30</v>
      </c>
      <c r="B39" s="341"/>
      <c r="C39" s="108" t="s">
        <v>594</v>
      </c>
      <c r="D39" s="26">
        <v>830054076</v>
      </c>
      <c r="E39" s="27" t="str">
        <f>VLOOKUP(D39,[1]TERCEROS!$A$2:$C$4000,3,FALSE)</f>
        <v>FIDEICOMISOS SOCIEDAD FIDUCIARIA</v>
      </c>
      <c r="F39" s="28" t="s">
        <v>33</v>
      </c>
      <c r="G39" s="29">
        <v>9700</v>
      </c>
      <c r="H39" s="178"/>
      <c r="I39" s="231">
        <f t="shared" si="0"/>
        <v>9700</v>
      </c>
    </row>
    <row r="40" spans="1:9" s="1" customFormat="1" ht="15" thickBot="1" x14ac:dyDescent="0.4">
      <c r="A40" s="82">
        <v>31</v>
      </c>
      <c r="B40" s="341"/>
      <c r="C40" s="108">
        <v>43435</v>
      </c>
      <c r="D40" s="26">
        <v>830054076</v>
      </c>
      <c r="E40" s="27" t="str">
        <f>VLOOKUP(D40,[1]TERCEROS!$A$2:$C$4000,3,FALSE)</f>
        <v>FIDEICOMISOS SOCIEDAD FIDUCIARIA</v>
      </c>
      <c r="F40" s="28" t="s">
        <v>33</v>
      </c>
      <c r="G40" s="29">
        <v>9700</v>
      </c>
      <c r="H40" s="178"/>
      <c r="I40" s="231">
        <f t="shared" si="0"/>
        <v>9700</v>
      </c>
    </row>
    <row r="41" spans="1:9" s="1" customFormat="1" ht="15" thickBot="1" x14ac:dyDescent="0.4">
      <c r="A41" s="82">
        <v>32</v>
      </c>
      <c r="B41" s="341"/>
      <c r="C41" s="108">
        <v>43438</v>
      </c>
      <c r="D41" s="26">
        <v>830054076</v>
      </c>
      <c r="E41" s="27" t="str">
        <f>VLOOKUP(D41,[1]TERCEROS!$A$2:$C$4000,3,FALSE)</f>
        <v>FIDEICOMISOS SOCIEDAD FIDUCIARIA</v>
      </c>
      <c r="F41" s="28" t="s">
        <v>33</v>
      </c>
      <c r="G41" s="29">
        <v>9700</v>
      </c>
      <c r="H41" s="178"/>
      <c r="I41" s="231">
        <f t="shared" si="0"/>
        <v>9700</v>
      </c>
    </row>
    <row r="42" spans="1:9" s="1" customFormat="1" ht="15" thickBot="1" x14ac:dyDescent="0.4">
      <c r="A42" s="82">
        <v>33</v>
      </c>
      <c r="B42" s="341"/>
      <c r="C42" s="108">
        <v>43436</v>
      </c>
      <c r="D42" s="26">
        <v>830054076</v>
      </c>
      <c r="E42" s="27" t="str">
        <f>VLOOKUP(D42,[1]TERCEROS!$A$2:$C$4000,3,FALSE)</f>
        <v>FIDEICOMISOS SOCIEDAD FIDUCIARIA</v>
      </c>
      <c r="F42" s="28" t="s">
        <v>33</v>
      </c>
      <c r="G42" s="29">
        <v>9700</v>
      </c>
      <c r="H42" s="178"/>
      <c r="I42" s="231">
        <f t="shared" si="0"/>
        <v>9700</v>
      </c>
    </row>
    <row r="43" spans="1:9" s="1" customFormat="1" ht="15" thickBot="1" x14ac:dyDescent="0.4">
      <c r="A43" s="82">
        <v>34</v>
      </c>
      <c r="B43" s="341"/>
      <c r="C43" s="108">
        <v>43435</v>
      </c>
      <c r="D43" s="26">
        <v>830054076</v>
      </c>
      <c r="E43" s="27" t="str">
        <f>VLOOKUP(D43,[1]TERCEROS!$A$2:$C$4000,3,FALSE)</f>
        <v>FIDEICOMISOS SOCIEDAD FIDUCIARIA</v>
      </c>
      <c r="F43" s="28" t="s">
        <v>33</v>
      </c>
      <c r="G43" s="29">
        <v>9700</v>
      </c>
      <c r="H43" s="178"/>
      <c r="I43" s="231">
        <f t="shared" si="0"/>
        <v>9700</v>
      </c>
    </row>
    <row r="44" spans="1:9" s="1" customFormat="1" ht="15" thickBot="1" x14ac:dyDescent="0.4">
      <c r="A44" s="82">
        <v>35</v>
      </c>
      <c r="B44" s="341"/>
      <c r="C44" s="108">
        <v>43429</v>
      </c>
      <c r="D44" s="26">
        <v>830054076</v>
      </c>
      <c r="E44" s="27" t="str">
        <f>VLOOKUP(D44,[1]TERCEROS!$A$2:$C$4000,3,FALSE)</f>
        <v>FIDEICOMISOS SOCIEDAD FIDUCIARIA</v>
      </c>
      <c r="F44" s="28" t="s">
        <v>33</v>
      </c>
      <c r="G44" s="29">
        <v>9700</v>
      </c>
      <c r="H44" s="178"/>
      <c r="I44" s="231">
        <f t="shared" si="0"/>
        <v>9700</v>
      </c>
    </row>
    <row r="45" spans="1:9" s="1" customFormat="1" ht="15" thickBot="1" x14ac:dyDescent="0.4">
      <c r="A45" s="82">
        <v>36</v>
      </c>
      <c r="B45" s="341"/>
      <c r="C45" s="108">
        <v>43434</v>
      </c>
      <c r="D45" s="26">
        <v>830054076</v>
      </c>
      <c r="E45" s="27" t="str">
        <f>VLOOKUP(D45,[1]TERCEROS!$A$2:$C$4000,3,FALSE)</f>
        <v>FIDEICOMISOS SOCIEDAD FIDUCIARIA</v>
      </c>
      <c r="F45" s="28" t="s">
        <v>33</v>
      </c>
      <c r="G45" s="29">
        <v>9700</v>
      </c>
      <c r="H45" s="178"/>
      <c r="I45" s="231">
        <f t="shared" si="0"/>
        <v>9700</v>
      </c>
    </row>
    <row r="46" spans="1:9" s="1" customFormat="1" ht="15" thickBot="1" x14ac:dyDescent="0.4">
      <c r="A46" s="82">
        <v>37</v>
      </c>
      <c r="B46" s="341"/>
      <c r="C46" s="108">
        <v>43424</v>
      </c>
      <c r="D46" s="26">
        <v>830054076</v>
      </c>
      <c r="E46" s="27" t="str">
        <f>VLOOKUP(D46,[1]TERCEROS!$A$2:$C$4000,3,FALSE)</f>
        <v>FIDEICOMISOS SOCIEDAD FIDUCIARIA</v>
      </c>
      <c r="F46" s="28" t="s">
        <v>33</v>
      </c>
      <c r="G46" s="29">
        <v>9700</v>
      </c>
      <c r="H46" s="178"/>
      <c r="I46" s="231">
        <f t="shared" si="0"/>
        <v>9700</v>
      </c>
    </row>
    <row r="47" spans="1:9" s="1" customFormat="1" ht="15" thickBot="1" x14ac:dyDescent="0.4">
      <c r="A47" s="82">
        <v>38</v>
      </c>
      <c r="B47" s="341"/>
      <c r="C47" s="108">
        <v>43434</v>
      </c>
      <c r="D47" s="26">
        <v>830054076</v>
      </c>
      <c r="E47" s="27" t="str">
        <f>VLOOKUP(D47,[1]TERCEROS!$A$2:$C$4000,3,FALSE)</f>
        <v>FIDEICOMISOS SOCIEDAD FIDUCIARIA</v>
      </c>
      <c r="F47" s="28" t="s">
        <v>33</v>
      </c>
      <c r="G47" s="29">
        <v>9700</v>
      </c>
      <c r="H47" s="178"/>
      <c r="I47" s="231">
        <f t="shared" si="0"/>
        <v>9700</v>
      </c>
    </row>
    <row r="48" spans="1:9" s="1" customFormat="1" ht="15" thickBot="1" x14ac:dyDescent="0.4">
      <c r="A48" s="82">
        <v>39</v>
      </c>
      <c r="B48" s="341"/>
      <c r="C48" s="108">
        <v>43429</v>
      </c>
      <c r="D48" s="26">
        <v>830054076</v>
      </c>
      <c r="E48" s="27" t="str">
        <f>VLOOKUP(D48,[1]TERCEROS!$A$2:$C$4000,3,FALSE)</f>
        <v>FIDEICOMISOS SOCIEDAD FIDUCIARIA</v>
      </c>
      <c r="F48" s="28" t="s">
        <v>33</v>
      </c>
      <c r="G48" s="29">
        <v>9700</v>
      </c>
      <c r="H48" s="178"/>
      <c r="I48" s="231">
        <f t="shared" si="0"/>
        <v>9700</v>
      </c>
    </row>
    <row r="49" spans="1:9" s="1" customFormat="1" ht="15" thickBot="1" x14ac:dyDescent="0.4">
      <c r="A49" s="82">
        <v>40</v>
      </c>
      <c r="B49" s="341"/>
      <c r="C49" s="108">
        <v>43425</v>
      </c>
      <c r="D49" s="26">
        <v>830054076</v>
      </c>
      <c r="E49" s="27" t="str">
        <f>VLOOKUP(D49,[1]TERCEROS!$A$2:$C$4000,3,FALSE)</f>
        <v>FIDEICOMISOS SOCIEDAD FIDUCIARIA</v>
      </c>
      <c r="F49" s="28" t="s">
        <v>33</v>
      </c>
      <c r="G49" s="29">
        <v>9700</v>
      </c>
      <c r="H49" s="178"/>
      <c r="I49" s="231">
        <f t="shared" si="0"/>
        <v>9700</v>
      </c>
    </row>
    <row r="50" spans="1:9" s="1" customFormat="1" ht="15" thickBot="1" x14ac:dyDescent="0.4">
      <c r="A50" s="82">
        <v>41</v>
      </c>
      <c r="B50" s="341"/>
      <c r="C50" s="108">
        <v>43432</v>
      </c>
      <c r="D50" s="26">
        <v>830054076</v>
      </c>
      <c r="E50" s="27" t="str">
        <f>VLOOKUP(D50,[1]TERCEROS!$A$2:$C$4000,3,FALSE)</f>
        <v>FIDEICOMISOS SOCIEDAD FIDUCIARIA</v>
      </c>
      <c r="F50" s="28" t="s">
        <v>33</v>
      </c>
      <c r="G50" s="29">
        <v>9700</v>
      </c>
      <c r="H50" s="178"/>
      <c r="I50" s="231">
        <f t="shared" si="0"/>
        <v>9700</v>
      </c>
    </row>
    <row r="51" spans="1:9" s="1" customFormat="1" ht="15" thickBot="1" x14ac:dyDescent="0.4">
      <c r="A51" s="82">
        <v>42</v>
      </c>
      <c r="B51" s="341"/>
      <c r="C51" s="108">
        <v>43433</v>
      </c>
      <c r="D51" s="26">
        <v>830054076</v>
      </c>
      <c r="E51" s="27" t="str">
        <f>VLOOKUP(D51,[1]TERCEROS!$A$2:$C$4000,3,FALSE)</f>
        <v>FIDEICOMISOS SOCIEDAD FIDUCIARIA</v>
      </c>
      <c r="F51" s="28" t="s">
        <v>33</v>
      </c>
      <c r="G51" s="29">
        <v>9700</v>
      </c>
      <c r="H51" s="178"/>
      <c r="I51" s="231">
        <f t="shared" si="0"/>
        <v>9700</v>
      </c>
    </row>
    <row r="52" spans="1:9" s="1" customFormat="1" ht="15" thickBot="1" x14ac:dyDescent="0.4">
      <c r="A52" s="82">
        <v>43</v>
      </c>
      <c r="B52" s="341"/>
      <c r="C52" s="132">
        <v>43433</v>
      </c>
      <c r="D52" s="26">
        <v>830054076</v>
      </c>
      <c r="E52" s="27" t="str">
        <f>VLOOKUP(D52,[1]TERCEROS!$A$2:$C$4000,3,FALSE)</f>
        <v>FIDEICOMISOS SOCIEDAD FIDUCIARIA</v>
      </c>
      <c r="F52" s="28" t="s">
        <v>33</v>
      </c>
      <c r="G52" s="29">
        <v>9700</v>
      </c>
      <c r="H52" s="180"/>
      <c r="I52" s="239">
        <f t="shared" si="0"/>
        <v>9700</v>
      </c>
    </row>
    <row r="53" spans="1:9" s="1" customFormat="1" ht="15" thickBot="1" x14ac:dyDescent="0.4">
      <c r="A53" s="82">
        <v>44</v>
      </c>
      <c r="B53" s="341"/>
      <c r="C53" s="159">
        <v>43433</v>
      </c>
      <c r="D53" s="26">
        <v>830054076</v>
      </c>
      <c r="E53" s="27" t="str">
        <f>VLOOKUP(D53,[1]TERCEROS!$A$2:$C$4000,3,FALSE)</f>
        <v>FIDEICOMISOS SOCIEDAD FIDUCIARIA</v>
      </c>
      <c r="F53" s="28" t="s">
        <v>33</v>
      </c>
      <c r="G53" s="29">
        <v>9700</v>
      </c>
      <c r="H53" s="180"/>
      <c r="I53" s="239">
        <f t="shared" ref="I53:I77" si="1">IF($K$14=1,G53+H53,G53*H53)</f>
        <v>9700</v>
      </c>
    </row>
    <row r="54" spans="1:9" s="1" customFormat="1" ht="15" thickBot="1" x14ac:dyDescent="0.4">
      <c r="A54" s="82">
        <v>45</v>
      </c>
      <c r="B54" s="341"/>
      <c r="C54" s="159">
        <v>43435</v>
      </c>
      <c r="D54" s="26">
        <v>830054076</v>
      </c>
      <c r="E54" s="27" t="str">
        <f>VLOOKUP(D54,[1]TERCEROS!$A$2:$C$4000,3,FALSE)</f>
        <v>FIDEICOMISOS SOCIEDAD FIDUCIARIA</v>
      </c>
      <c r="F54" s="28" t="s">
        <v>33</v>
      </c>
      <c r="G54" s="29">
        <v>9700</v>
      </c>
      <c r="H54" s="180"/>
      <c r="I54" s="239">
        <f t="shared" si="1"/>
        <v>9700</v>
      </c>
    </row>
    <row r="55" spans="1:9" s="1" customFormat="1" ht="15" thickBot="1" x14ac:dyDescent="0.4">
      <c r="A55" s="82">
        <v>46</v>
      </c>
      <c r="B55" s="341"/>
      <c r="C55" s="159">
        <v>43435</v>
      </c>
      <c r="D55" s="26">
        <v>830054076</v>
      </c>
      <c r="E55" s="27" t="str">
        <f>VLOOKUP(D55,[1]TERCEROS!$A$2:$C$4000,3,FALSE)</f>
        <v>FIDEICOMISOS SOCIEDAD FIDUCIARIA</v>
      </c>
      <c r="F55" s="28" t="s">
        <v>33</v>
      </c>
      <c r="G55" s="29">
        <v>9700</v>
      </c>
      <c r="H55" s="180"/>
      <c r="I55" s="239">
        <f t="shared" si="1"/>
        <v>9700</v>
      </c>
    </row>
    <row r="56" spans="1:9" s="1" customFormat="1" ht="15" thickBot="1" x14ac:dyDescent="0.4">
      <c r="A56" s="82">
        <v>47</v>
      </c>
      <c r="B56" s="341"/>
      <c r="C56" s="159">
        <v>43435</v>
      </c>
      <c r="D56" s="26">
        <v>830054076</v>
      </c>
      <c r="E56" s="27" t="str">
        <f>VLOOKUP(D56,[1]TERCEROS!$A$2:$C$4000,3,FALSE)</f>
        <v>FIDEICOMISOS SOCIEDAD FIDUCIARIA</v>
      </c>
      <c r="F56" s="28" t="s">
        <v>33</v>
      </c>
      <c r="G56" s="29">
        <v>9700</v>
      </c>
      <c r="H56" s="180"/>
      <c r="I56" s="239">
        <f t="shared" si="1"/>
        <v>9700</v>
      </c>
    </row>
    <row r="57" spans="1:9" s="1" customFormat="1" ht="15" thickBot="1" x14ac:dyDescent="0.4">
      <c r="A57" s="82">
        <v>48</v>
      </c>
      <c r="B57" s="341"/>
      <c r="C57" s="159">
        <v>43435</v>
      </c>
      <c r="D57" s="26">
        <v>830054076</v>
      </c>
      <c r="E57" s="27" t="str">
        <f>VLOOKUP(D57,[1]TERCEROS!$A$2:$C$4000,3,FALSE)</f>
        <v>FIDEICOMISOS SOCIEDAD FIDUCIARIA</v>
      </c>
      <c r="F57" s="28" t="s">
        <v>33</v>
      </c>
      <c r="G57" s="29">
        <v>9700</v>
      </c>
      <c r="H57" s="180"/>
      <c r="I57" s="239">
        <f t="shared" si="1"/>
        <v>9700</v>
      </c>
    </row>
    <row r="58" spans="1:9" s="1" customFormat="1" ht="15" thickBot="1" x14ac:dyDescent="0.4">
      <c r="A58" s="82">
        <v>49</v>
      </c>
      <c r="B58" s="341"/>
      <c r="C58" s="159">
        <v>43432</v>
      </c>
      <c r="D58" s="26">
        <v>830054076</v>
      </c>
      <c r="E58" s="27" t="str">
        <f>VLOOKUP(D58,[1]TERCEROS!$A$2:$C$4000,3,FALSE)</f>
        <v>FIDEICOMISOS SOCIEDAD FIDUCIARIA</v>
      </c>
      <c r="F58" s="28" t="s">
        <v>33</v>
      </c>
      <c r="G58" s="29">
        <v>9700</v>
      </c>
      <c r="H58" s="180"/>
      <c r="I58" s="239">
        <f t="shared" si="1"/>
        <v>9700</v>
      </c>
    </row>
    <row r="59" spans="1:9" s="1" customFormat="1" ht="15" thickBot="1" x14ac:dyDescent="0.4">
      <c r="A59" s="82">
        <v>50</v>
      </c>
      <c r="B59" s="341"/>
      <c r="C59" s="159">
        <v>43433</v>
      </c>
      <c r="D59" s="26">
        <v>830054076</v>
      </c>
      <c r="E59" s="27" t="str">
        <f>VLOOKUP(D59,[1]TERCEROS!$A$2:$C$4000,3,FALSE)</f>
        <v>FIDEICOMISOS SOCIEDAD FIDUCIARIA</v>
      </c>
      <c r="F59" s="28" t="s">
        <v>33</v>
      </c>
      <c r="G59" s="29">
        <v>9700</v>
      </c>
      <c r="H59" s="180"/>
      <c r="I59" s="239">
        <f t="shared" si="1"/>
        <v>9700</v>
      </c>
    </row>
    <row r="60" spans="1:9" s="1" customFormat="1" ht="15" thickBot="1" x14ac:dyDescent="0.4">
      <c r="A60" s="82">
        <v>51</v>
      </c>
      <c r="B60" s="341"/>
      <c r="C60" s="159">
        <v>43432</v>
      </c>
      <c r="D60" s="26">
        <v>830054076</v>
      </c>
      <c r="E60" s="27" t="str">
        <f>VLOOKUP(D60,[1]TERCEROS!$A$2:$C$4000,3,FALSE)</f>
        <v>FIDEICOMISOS SOCIEDAD FIDUCIARIA</v>
      </c>
      <c r="F60" s="28" t="s">
        <v>33</v>
      </c>
      <c r="G60" s="29">
        <v>9700</v>
      </c>
      <c r="H60" s="180"/>
      <c r="I60" s="239">
        <f t="shared" si="1"/>
        <v>9700</v>
      </c>
    </row>
    <row r="61" spans="1:9" s="1" customFormat="1" ht="15" thickBot="1" x14ac:dyDescent="0.4">
      <c r="A61" s="82">
        <v>52</v>
      </c>
      <c r="B61" s="341"/>
      <c r="C61" s="159">
        <v>43437</v>
      </c>
      <c r="D61" s="120">
        <v>80819871</v>
      </c>
      <c r="E61" s="27" t="str">
        <f>VLOOKUP(D61,[1]TERCEROS!$A$2:$C$4000,3,FALSE)</f>
        <v>DIAZ CARDENAS LUIS GABRIEL</v>
      </c>
      <c r="F61" s="122" t="s">
        <v>97</v>
      </c>
      <c r="G61" s="123">
        <v>16200</v>
      </c>
      <c r="H61" s="180"/>
      <c r="I61" s="280">
        <f t="shared" si="1"/>
        <v>16200</v>
      </c>
    </row>
    <row r="62" spans="1:9" s="1" customFormat="1" ht="15" thickBot="1" x14ac:dyDescent="0.4">
      <c r="A62" s="82">
        <v>53</v>
      </c>
      <c r="B62" s="341"/>
      <c r="C62" s="159">
        <v>43438</v>
      </c>
      <c r="D62" s="120">
        <v>1039090799</v>
      </c>
      <c r="E62" s="27" t="str">
        <f>VLOOKUP(D62,[1]TERCEROS!$A$2:$C$4000,3,FALSE)</f>
        <v>NISPERUZA ARRIETA YAISLLETH JUDITH</v>
      </c>
      <c r="F62" s="122" t="s">
        <v>97</v>
      </c>
      <c r="G62" s="123">
        <v>110000</v>
      </c>
      <c r="H62" s="180"/>
      <c r="I62" s="280">
        <f t="shared" si="1"/>
        <v>110000</v>
      </c>
    </row>
    <row r="63" spans="1:9" s="1" customFormat="1" ht="15" thickBot="1" x14ac:dyDescent="0.4">
      <c r="A63" s="82">
        <v>54</v>
      </c>
      <c r="B63" s="341"/>
      <c r="C63" s="159">
        <v>43441</v>
      </c>
      <c r="D63" s="120">
        <v>12144105</v>
      </c>
      <c r="E63" s="27" t="str">
        <f>VLOOKUP(D63,[1]TERCEROS!$A$2:$C$4000,3,FALSE)</f>
        <v>VILLA JAVIER JIMENEZ</v>
      </c>
      <c r="F63" s="122" t="s">
        <v>97</v>
      </c>
      <c r="G63" s="123">
        <v>6000</v>
      </c>
      <c r="H63" s="180"/>
      <c r="I63" s="280">
        <f t="shared" si="1"/>
        <v>6000</v>
      </c>
    </row>
    <row r="64" spans="1:9" s="1" customFormat="1" ht="15" thickBot="1" x14ac:dyDescent="0.4">
      <c r="A64" s="82">
        <v>55</v>
      </c>
      <c r="B64" s="341"/>
      <c r="C64" s="159">
        <v>43437</v>
      </c>
      <c r="D64" s="120">
        <v>79981003</v>
      </c>
      <c r="E64" s="27" t="str">
        <f>VLOOKUP(D64,[1]TERCEROS!$A$2:$C$4000,3,FALSE)</f>
        <v>JAIME FERNANDO BELTRAN MORA</v>
      </c>
      <c r="F64" s="122" t="s">
        <v>97</v>
      </c>
      <c r="G64" s="123">
        <v>80000</v>
      </c>
      <c r="H64" s="180"/>
      <c r="I64" s="280">
        <f t="shared" si="1"/>
        <v>80000</v>
      </c>
    </row>
    <row r="65" spans="1:9" s="1" customFormat="1" ht="15" thickBot="1" x14ac:dyDescent="0.4">
      <c r="A65" s="82">
        <v>56</v>
      </c>
      <c r="B65" s="341"/>
      <c r="C65" s="159">
        <v>43438</v>
      </c>
      <c r="D65" s="120">
        <v>1020776583</v>
      </c>
      <c r="E65" s="27" t="s">
        <v>108</v>
      </c>
      <c r="F65" s="122" t="s">
        <v>97</v>
      </c>
      <c r="G65" s="123">
        <v>130000</v>
      </c>
      <c r="H65" s="180"/>
      <c r="I65" s="280">
        <f t="shared" si="1"/>
        <v>130000</v>
      </c>
    </row>
    <row r="66" spans="1:9" s="1" customFormat="1" ht="15" thickBot="1" x14ac:dyDescent="0.4">
      <c r="A66" s="82">
        <v>57</v>
      </c>
      <c r="B66" s="341"/>
      <c r="C66" s="159">
        <v>43434</v>
      </c>
      <c r="D66" s="120">
        <v>1031138543</v>
      </c>
      <c r="E66" s="27" t="str">
        <f>VLOOKUP(D66,[1]TERCEROS!$A$2:$C$4000,3,FALSE)</f>
        <v>OSCAR EDUARDO VALENCIA</v>
      </c>
      <c r="F66" s="122" t="s">
        <v>97</v>
      </c>
      <c r="G66" s="123">
        <v>130000</v>
      </c>
      <c r="H66" s="180"/>
      <c r="I66" s="280">
        <f t="shared" si="1"/>
        <v>130000</v>
      </c>
    </row>
    <row r="67" spans="1:9" s="1" customFormat="1" ht="15" thickBot="1" x14ac:dyDescent="0.4">
      <c r="A67" s="82">
        <v>58</v>
      </c>
      <c r="B67" s="341"/>
      <c r="C67" s="159">
        <v>43439</v>
      </c>
      <c r="D67" s="120">
        <v>1039090799</v>
      </c>
      <c r="E67" s="27" t="str">
        <f>VLOOKUP(D67,[1]TERCEROS!$A$2:$C$4000,3,FALSE)</f>
        <v>NISPERUZA ARRIETA YAISLLETH JUDITH</v>
      </c>
      <c r="F67" s="122" t="s">
        <v>97</v>
      </c>
      <c r="G67" s="123">
        <v>110000</v>
      </c>
      <c r="H67" s="180"/>
      <c r="I67" s="280">
        <f t="shared" si="1"/>
        <v>110000</v>
      </c>
    </row>
    <row r="68" spans="1:9" s="1" customFormat="1" ht="15" thickBot="1" x14ac:dyDescent="0.4">
      <c r="A68" s="82">
        <v>59</v>
      </c>
      <c r="B68" s="341"/>
      <c r="C68" s="159">
        <v>43438</v>
      </c>
      <c r="D68" s="120">
        <v>1039090799</v>
      </c>
      <c r="E68" s="27" t="str">
        <f>VLOOKUP(D68,[1]TERCEROS!$A$2:$C$4000,3,FALSE)</f>
        <v>NISPERUZA ARRIETA YAISLLETH JUDITH</v>
      </c>
      <c r="F68" s="122" t="s">
        <v>97</v>
      </c>
      <c r="G68" s="123">
        <v>80000</v>
      </c>
      <c r="H68" s="180"/>
      <c r="I68" s="280">
        <f t="shared" si="1"/>
        <v>80000</v>
      </c>
    </row>
    <row r="69" spans="1:9" s="1" customFormat="1" ht="15" thickBot="1" x14ac:dyDescent="0.4">
      <c r="A69" s="82">
        <v>60</v>
      </c>
      <c r="B69" s="341"/>
      <c r="C69" s="159">
        <v>43438</v>
      </c>
      <c r="D69" s="120">
        <v>1014223814</v>
      </c>
      <c r="E69" s="27" t="s">
        <v>595</v>
      </c>
      <c r="F69" s="122" t="s">
        <v>35</v>
      </c>
      <c r="G69" s="123">
        <v>50000</v>
      </c>
      <c r="H69" s="180"/>
      <c r="I69" s="280">
        <f t="shared" si="1"/>
        <v>50000</v>
      </c>
    </row>
    <row r="70" spans="1:9" s="1" customFormat="1" ht="15" thickBot="1" x14ac:dyDescent="0.4">
      <c r="A70" s="82">
        <v>61</v>
      </c>
      <c r="B70" s="341"/>
      <c r="C70" s="159">
        <v>43424</v>
      </c>
      <c r="D70" s="120">
        <v>11202446</v>
      </c>
      <c r="E70" s="27" t="str">
        <f>VLOOKUP(D70,[1]TERCEROS!$A$2:$C$4000,3,FALSE)</f>
        <v>CARLOS EMILIANO MARTINEZ CRISTANCHO</v>
      </c>
      <c r="F70" s="122" t="s">
        <v>48</v>
      </c>
      <c r="G70" s="123">
        <v>40000</v>
      </c>
      <c r="H70" s="180"/>
      <c r="I70" s="280">
        <f t="shared" si="1"/>
        <v>40000</v>
      </c>
    </row>
    <row r="71" spans="1:9" s="1" customFormat="1" ht="15" thickBot="1" x14ac:dyDescent="0.4">
      <c r="A71" s="82">
        <v>62</v>
      </c>
      <c r="B71" s="341"/>
      <c r="C71" s="159">
        <v>43434</v>
      </c>
      <c r="D71" s="120">
        <v>80819871</v>
      </c>
      <c r="E71" s="27" t="str">
        <f>VLOOKUP(D71,[1]TERCEROS!$A$2:$C$4000,3,FALSE)</f>
        <v>DIAZ CARDENAS LUIS GABRIEL</v>
      </c>
      <c r="F71" s="122" t="s">
        <v>48</v>
      </c>
      <c r="G71" s="123">
        <v>42800</v>
      </c>
      <c r="H71" s="180"/>
      <c r="I71" s="280">
        <f t="shared" si="1"/>
        <v>42800</v>
      </c>
    </row>
    <row r="72" spans="1:9" s="1" customFormat="1" ht="15" thickBot="1" x14ac:dyDescent="0.4">
      <c r="A72" s="82">
        <v>63</v>
      </c>
      <c r="B72" s="341"/>
      <c r="C72" s="159">
        <v>43427</v>
      </c>
      <c r="D72" s="135">
        <v>11202446</v>
      </c>
      <c r="E72" s="92" t="str">
        <f>VLOOKUP(D72,[1]TERCEROS!$A$2:$C$4000,3,FALSE)</f>
        <v>CARLOS EMILIANO MARTINEZ CRISTANCHO</v>
      </c>
      <c r="F72" s="137" t="s">
        <v>48</v>
      </c>
      <c r="G72" s="138">
        <v>40000</v>
      </c>
      <c r="H72" s="180"/>
      <c r="I72" s="280">
        <f t="shared" si="1"/>
        <v>40000</v>
      </c>
    </row>
    <row r="73" spans="1:9" s="1" customFormat="1" ht="23.5" thickBot="1" x14ac:dyDescent="0.4">
      <c r="A73" s="82">
        <v>64</v>
      </c>
      <c r="B73" s="151" t="s">
        <v>596</v>
      </c>
      <c r="C73" s="95">
        <v>43437</v>
      </c>
      <c r="D73" s="96">
        <v>830057186</v>
      </c>
      <c r="E73" s="97" t="str">
        <f>VLOOKUP(D73,[1]TERCEROS!$A$2:$C$4000,3,FALSE)</f>
        <v>MUNDIAL DE TORNILLOS SA</v>
      </c>
      <c r="F73" s="98" t="s">
        <v>597</v>
      </c>
      <c r="G73" s="99">
        <v>158998</v>
      </c>
      <c r="H73" s="201">
        <f>+G73*19%</f>
        <v>30209.62</v>
      </c>
      <c r="I73" s="233">
        <f t="shared" si="1"/>
        <v>189207.62</v>
      </c>
    </row>
    <row r="74" spans="1:9" s="1" customFormat="1" ht="15" thickBot="1" x14ac:dyDescent="0.4">
      <c r="A74" s="82">
        <v>65</v>
      </c>
      <c r="B74" s="151" t="s">
        <v>599</v>
      </c>
      <c r="C74" s="95">
        <v>43438</v>
      </c>
      <c r="D74" s="96">
        <v>860512330</v>
      </c>
      <c r="E74" s="97" t="str">
        <f>VLOOKUP(D74,[1]TERCEROS!$A$2:$C$4000,3,FALSE)</f>
        <v>SERVIENTREGA S.A.</v>
      </c>
      <c r="F74" s="98" t="s">
        <v>600</v>
      </c>
      <c r="G74" s="99">
        <v>29800</v>
      </c>
      <c r="H74" s="201"/>
      <c r="I74" s="233">
        <f t="shared" si="1"/>
        <v>29800</v>
      </c>
    </row>
    <row r="75" spans="1:9" s="1" customFormat="1" ht="15" thickBot="1" x14ac:dyDescent="0.4">
      <c r="A75" s="82">
        <v>66</v>
      </c>
      <c r="B75" s="9" t="s">
        <v>598</v>
      </c>
      <c r="C75" s="159">
        <v>43439</v>
      </c>
      <c r="D75" s="135">
        <v>51784913</v>
      </c>
      <c r="E75" s="136" t="s">
        <v>601</v>
      </c>
      <c r="F75" s="137" t="s">
        <v>602</v>
      </c>
      <c r="G75" s="138">
        <v>6555</v>
      </c>
      <c r="H75" s="181">
        <f>+G75*19%</f>
        <v>1245.45</v>
      </c>
      <c r="I75" s="280">
        <f t="shared" si="1"/>
        <v>7800.45</v>
      </c>
    </row>
    <row r="76" spans="1:9" s="1" customFormat="1" ht="15" thickBot="1" x14ac:dyDescent="0.4">
      <c r="A76" s="82">
        <v>67</v>
      </c>
      <c r="B76" s="347" t="s">
        <v>396</v>
      </c>
      <c r="C76" s="107">
        <v>43440</v>
      </c>
      <c r="D76" s="17">
        <v>222222222</v>
      </c>
      <c r="E76" s="18" t="str">
        <f>VLOOKUP(D76,[1]TERCEROS!$A$2:$C$4000,3,FALSE)</f>
        <v>CUANTIAS MINIMAS</v>
      </c>
      <c r="F76" s="19" t="s">
        <v>35</v>
      </c>
      <c r="G76" s="20">
        <v>1200</v>
      </c>
      <c r="H76" s="177"/>
      <c r="I76" s="230">
        <f t="shared" si="1"/>
        <v>1200</v>
      </c>
    </row>
    <row r="77" spans="1:9" s="1" customFormat="1" ht="15" thickBot="1" x14ac:dyDescent="0.4">
      <c r="A77" s="82">
        <v>68</v>
      </c>
      <c r="B77" s="326"/>
      <c r="C77" s="108">
        <v>43441</v>
      </c>
      <c r="D77" s="26">
        <v>222222222</v>
      </c>
      <c r="E77" s="27" t="str">
        <f>VLOOKUP(D77,[1]TERCEROS!$A$2:$C$4000,3,FALSE)</f>
        <v>CUANTIAS MINIMAS</v>
      </c>
      <c r="F77" s="28" t="s">
        <v>35</v>
      </c>
      <c r="G77" s="29">
        <v>1681</v>
      </c>
      <c r="H77" s="178">
        <f>+G77*19%</f>
        <v>319.39</v>
      </c>
      <c r="I77" s="231">
        <f t="shared" si="1"/>
        <v>2000.3899999999999</v>
      </c>
    </row>
    <row r="78" spans="1:9" s="1" customFormat="1" ht="15" thickBot="1" x14ac:dyDescent="0.4">
      <c r="A78" s="82">
        <v>69</v>
      </c>
      <c r="B78" s="326"/>
      <c r="C78" s="108">
        <v>43436</v>
      </c>
      <c r="D78" s="26">
        <v>52145008</v>
      </c>
      <c r="E78" s="27" t="s">
        <v>174</v>
      </c>
      <c r="F78" s="28" t="s">
        <v>35</v>
      </c>
      <c r="G78" s="29">
        <v>6700</v>
      </c>
      <c r="H78" s="178"/>
      <c r="I78" s="282">
        <v>6700</v>
      </c>
    </row>
    <row r="79" spans="1:9" s="1" customFormat="1" ht="15" thickBot="1" x14ac:dyDescent="0.4">
      <c r="A79" s="82">
        <v>70</v>
      </c>
      <c r="B79" s="326"/>
      <c r="C79" s="108">
        <v>43434</v>
      </c>
      <c r="D79" s="26">
        <v>6464062</v>
      </c>
      <c r="E79" s="27" t="str">
        <f>VLOOKUP(D79,[1]TERCEROS!$A$2:$C$4000,3,FALSE)</f>
        <v>PARKMOTO</v>
      </c>
      <c r="F79" s="28" t="s">
        <v>35</v>
      </c>
      <c r="G79" s="29">
        <v>1000</v>
      </c>
      <c r="H79" s="178"/>
      <c r="I79" s="282">
        <v>1000</v>
      </c>
    </row>
    <row r="80" spans="1:9" s="1" customFormat="1" ht="15" thickBot="1" x14ac:dyDescent="0.4">
      <c r="A80" s="82">
        <v>71</v>
      </c>
      <c r="B80" s="326"/>
      <c r="C80" s="108">
        <v>43438</v>
      </c>
      <c r="D80" s="26">
        <v>830107120</v>
      </c>
      <c r="E80" s="27" t="s">
        <v>603</v>
      </c>
      <c r="F80" s="28" t="s">
        <v>35</v>
      </c>
      <c r="G80" s="29">
        <v>3992</v>
      </c>
      <c r="H80" s="178">
        <f>+G80*19%</f>
        <v>758.48</v>
      </c>
      <c r="I80" s="282">
        <f>+G80+H80</f>
        <v>4750.4799999999996</v>
      </c>
    </row>
    <row r="81" spans="1:37" s="1" customFormat="1" ht="15" thickBot="1" x14ac:dyDescent="0.4">
      <c r="A81" s="82">
        <v>72</v>
      </c>
      <c r="B81" s="326"/>
      <c r="C81" s="108">
        <v>43437</v>
      </c>
      <c r="D81" s="26">
        <v>152877</v>
      </c>
      <c r="E81" s="27" t="s">
        <v>604</v>
      </c>
      <c r="F81" s="28" t="s">
        <v>35</v>
      </c>
      <c r="G81" s="29">
        <v>300</v>
      </c>
      <c r="H81" s="178"/>
      <c r="I81" s="282">
        <f>+G81+H81</f>
        <v>300</v>
      </c>
    </row>
    <row r="82" spans="1:37" s="1" customFormat="1" ht="15" thickBot="1" x14ac:dyDescent="0.4">
      <c r="A82" s="82">
        <v>73</v>
      </c>
      <c r="B82" s="326"/>
      <c r="C82" s="108">
        <v>43441</v>
      </c>
      <c r="D82" s="26">
        <v>41634008</v>
      </c>
      <c r="E82" s="27" t="str">
        <f>VLOOKUP(D82,[1]TERCEROS!$A$2:$C$4000,3,FALSE)</f>
        <v>GLORIA HAIDEE PINZON</v>
      </c>
      <c r="F82" s="28" t="s">
        <v>35</v>
      </c>
      <c r="G82" s="29">
        <v>1000</v>
      </c>
      <c r="H82" s="178"/>
      <c r="I82" s="282">
        <f>+G82+H82</f>
        <v>1000</v>
      </c>
    </row>
    <row r="83" spans="1:37" s="1" customFormat="1" ht="15" thickBot="1" x14ac:dyDescent="0.4">
      <c r="A83" s="82">
        <v>74</v>
      </c>
      <c r="B83" s="326"/>
      <c r="C83" s="108">
        <v>43434</v>
      </c>
      <c r="D83" s="26">
        <v>1026597540</v>
      </c>
      <c r="E83" s="27" t="s">
        <v>605</v>
      </c>
      <c r="F83" s="28" t="s">
        <v>35</v>
      </c>
      <c r="G83" s="29">
        <v>3500</v>
      </c>
      <c r="H83" s="178"/>
      <c r="I83" s="238">
        <f t="shared" ref="I83" si="2">G83+H83</f>
        <v>3500</v>
      </c>
    </row>
    <row r="84" spans="1:37" s="1" customFormat="1" ht="15" thickBot="1" x14ac:dyDescent="0.4">
      <c r="A84" s="82">
        <v>75</v>
      </c>
      <c r="B84" s="326"/>
      <c r="C84" s="108">
        <v>43438</v>
      </c>
      <c r="D84" s="26">
        <v>830037946</v>
      </c>
      <c r="E84" s="27" t="str">
        <f>VLOOKUP(D84,[1]TERCEROS!$A$2:$C$4000,3,FALSE)</f>
        <v>PANAMERICANA SA</v>
      </c>
      <c r="F84" s="28" t="s">
        <v>606</v>
      </c>
      <c r="G84" s="29">
        <v>54537</v>
      </c>
      <c r="H84" s="178">
        <v>10363</v>
      </c>
      <c r="I84" s="231">
        <f t="shared" si="0"/>
        <v>64900</v>
      </c>
    </row>
    <row r="85" spans="1:37" s="1" customFormat="1" ht="15" thickBot="1" x14ac:dyDescent="0.4">
      <c r="A85" s="82">
        <v>76</v>
      </c>
      <c r="B85" s="326"/>
      <c r="C85" s="108">
        <v>43441</v>
      </c>
      <c r="D85" s="26">
        <v>830107120</v>
      </c>
      <c r="E85" s="27" t="s">
        <v>603</v>
      </c>
      <c r="F85" s="28" t="s">
        <v>35</v>
      </c>
      <c r="G85" s="29">
        <v>750</v>
      </c>
      <c r="H85" s="178"/>
      <c r="I85" s="231">
        <f t="shared" si="0"/>
        <v>750</v>
      </c>
    </row>
    <row r="86" spans="1:37" s="1" customFormat="1" ht="15" thickBot="1" x14ac:dyDescent="0.4">
      <c r="A86" s="82">
        <v>77</v>
      </c>
      <c r="B86" s="326"/>
      <c r="C86" s="109">
        <v>43440</v>
      </c>
      <c r="D86" s="110">
        <v>1022421503</v>
      </c>
      <c r="E86" s="111" t="s">
        <v>607</v>
      </c>
      <c r="F86" s="112" t="s">
        <v>35</v>
      </c>
      <c r="G86" s="113">
        <v>1000</v>
      </c>
      <c r="H86" s="179"/>
      <c r="I86" s="283">
        <v>1000</v>
      </c>
    </row>
    <row r="87" spans="1:37" s="1" customFormat="1" ht="15" thickBot="1" x14ac:dyDescent="0.4">
      <c r="A87" s="82">
        <v>78</v>
      </c>
      <c r="B87" s="9" t="s">
        <v>608</v>
      </c>
      <c r="C87" s="152">
        <v>43439</v>
      </c>
      <c r="D87" s="153">
        <v>900912012</v>
      </c>
      <c r="E87" s="154" t="str">
        <f>VLOOKUP(D87,[1]TERCEROS!$A$2:$C$4000,3,FALSE)</f>
        <v xml:space="preserve">TORNILLOS </v>
      </c>
      <c r="F87" s="155" t="s">
        <v>602</v>
      </c>
      <c r="G87" s="156">
        <v>15126</v>
      </c>
      <c r="H87" s="211">
        <f>+G87*19%</f>
        <v>2873.94</v>
      </c>
      <c r="I87" s="281">
        <f>G87+H87</f>
        <v>17999.939999999999</v>
      </c>
    </row>
    <row r="88" spans="1:37" s="2" customFormat="1" ht="15.75" customHeight="1" thickBot="1" x14ac:dyDescent="0.4">
      <c r="A88" s="327" t="s">
        <v>586</v>
      </c>
      <c r="B88" s="329"/>
      <c r="C88" s="329"/>
      <c r="D88" s="329"/>
      <c r="E88" s="330"/>
      <c r="F88" s="93" t="s">
        <v>24</v>
      </c>
      <c r="G88" s="94">
        <f>SUM(G10:G87)</f>
        <v>2590139</v>
      </c>
      <c r="H88" s="94">
        <f>SUM(H10:H87)</f>
        <v>45769.880000000005</v>
      </c>
      <c r="I88" s="94">
        <f>SUM(I10:I87)</f>
        <v>2635908.8800000004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2" customFormat="1" ht="15" customHeight="1" x14ac:dyDescent="0.35">
      <c r="A89" s="300" t="s">
        <v>26</v>
      </c>
      <c r="B89" s="301"/>
      <c r="C89" s="301"/>
      <c r="D89" s="306" t="s">
        <v>58</v>
      </c>
      <c r="E89" s="307"/>
      <c r="F89" s="312"/>
      <c r="G89" s="315" t="s">
        <v>16</v>
      </c>
      <c r="H89" s="316"/>
      <c r="I89" s="35">
        <v>3000000</v>
      </c>
      <c r="J89" s="1"/>
      <c r="K89" s="1"/>
      <c r="L89" s="1"/>
      <c r="M89" s="21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s="2" customFormat="1" ht="15" customHeight="1" x14ac:dyDescent="0.35">
      <c r="A90" s="302"/>
      <c r="B90" s="303"/>
      <c r="C90" s="303"/>
      <c r="D90" s="308"/>
      <c r="E90" s="309"/>
      <c r="F90" s="313"/>
      <c r="G90" s="317" t="s">
        <v>17</v>
      </c>
      <c r="H90" s="318"/>
      <c r="I90" s="36">
        <f>+I89-I88</f>
        <v>364091.11999999965</v>
      </c>
      <c r="J90" s="1"/>
      <c r="K90" s="1"/>
      <c r="L90" s="1"/>
      <c r="M90" s="21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s="1" customFormat="1" ht="15.75" customHeight="1" thickBot="1" x14ac:dyDescent="0.4">
      <c r="A91" s="304"/>
      <c r="B91" s="305"/>
      <c r="C91" s="305"/>
      <c r="D91" s="310"/>
      <c r="E91" s="311"/>
      <c r="F91" s="314"/>
      <c r="G91" s="289" t="s">
        <v>5</v>
      </c>
      <c r="H91" s="290"/>
      <c r="I91" s="37">
        <f>+I89-I90</f>
        <v>2635908.8800000004</v>
      </c>
    </row>
    <row r="92" spans="1:37" s="1" customFormat="1" ht="15" thickBot="1" x14ac:dyDescent="0.4">
      <c r="A92" s="291" t="s">
        <v>25</v>
      </c>
      <c r="B92" s="292"/>
      <c r="C92" s="292"/>
      <c r="D92" s="293"/>
      <c r="E92" s="38"/>
      <c r="F92" s="38"/>
      <c r="G92" s="38"/>
      <c r="H92" s="38"/>
      <c r="I92" s="39"/>
    </row>
    <row r="93" spans="1:37" s="1" customFormat="1" ht="15" thickBot="1" x14ac:dyDescent="0.4">
      <c r="A93" s="40"/>
      <c r="B93" s="41" t="s">
        <v>6</v>
      </c>
      <c r="C93" s="42">
        <f>+D108</f>
        <v>139100</v>
      </c>
      <c r="D93" s="39"/>
      <c r="E93" s="43">
        <f>C93+C95+I88</f>
        <v>3000008.8800000004</v>
      </c>
      <c r="F93" s="43"/>
      <c r="G93" s="38"/>
      <c r="H93" s="38"/>
      <c r="I93" s="44"/>
    </row>
    <row r="94" spans="1:37" s="1" customFormat="1" ht="15" thickBot="1" x14ac:dyDescent="0.4">
      <c r="A94" s="40"/>
      <c r="B94" s="41" t="s">
        <v>119</v>
      </c>
      <c r="C94" s="45">
        <v>225000</v>
      </c>
      <c r="D94" s="39"/>
      <c r="E94" s="43">
        <f>+E93-I89</f>
        <v>8.8800000003539026</v>
      </c>
      <c r="F94" s="38"/>
      <c r="G94" s="38"/>
      <c r="H94" s="38"/>
      <c r="I94" s="39"/>
    </row>
    <row r="95" spans="1:37" s="1" customFormat="1" ht="15" thickBot="1" x14ac:dyDescent="0.4">
      <c r="A95" s="40"/>
      <c r="B95" s="47" t="s">
        <v>7</v>
      </c>
      <c r="C95" s="45">
        <f>SUM(C94:C94)</f>
        <v>225000</v>
      </c>
      <c r="D95" s="39"/>
      <c r="E95" s="48"/>
      <c r="F95" s="48"/>
      <c r="G95" s="48"/>
      <c r="H95" s="48"/>
      <c r="I95" s="49"/>
    </row>
    <row r="96" spans="1:37" s="1" customFormat="1" ht="15" thickBot="1" x14ac:dyDescent="0.4">
      <c r="A96" s="40"/>
      <c r="B96" s="50"/>
      <c r="C96" s="51"/>
      <c r="D96" s="39"/>
      <c r="E96" s="48"/>
      <c r="F96" s="48"/>
      <c r="G96" s="48"/>
      <c r="H96" s="48"/>
      <c r="I96" s="49"/>
    </row>
    <row r="97" spans="1:37" s="1" customFormat="1" ht="15" thickBot="1" x14ac:dyDescent="0.4">
      <c r="A97" s="40"/>
      <c r="B97" s="52"/>
      <c r="C97" s="53" t="s">
        <v>11</v>
      </c>
      <c r="D97" s="54" t="s">
        <v>4</v>
      </c>
      <c r="E97" s="38"/>
      <c r="F97" s="55"/>
      <c r="G97" s="38"/>
      <c r="H97" s="38"/>
      <c r="I97" s="39"/>
    </row>
    <row r="98" spans="1:37" s="1" customFormat="1" ht="14.5" x14ac:dyDescent="0.35">
      <c r="A98" s="40"/>
      <c r="B98" s="56">
        <v>2</v>
      </c>
      <c r="C98" s="57">
        <v>50000</v>
      </c>
      <c r="D98" s="58">
        <f t="shared" ref="D98:D107" si="3">+C98*B98</f>
        <v>100000</v>
      </c>
      <c r="E98" s="271" t="s">
        <v>29</v>
      </c>
      <c r="F98" s="60" t="s">
        <v>27</v>
      </c>
      <c r="G98" s="294" t="s">
        <v>28</v>
      </c>
      <c r="H98" s="294"/>
      <c r="I98" s="295"/>
    </row>
    <row r="99" spans="1:37" s="5" customFormat="1" ht="15" customHeight="1" x14ac:dyDescent="0.35">
      <c r="A99" s="40"/>
      <c r="B99" s="62">
        <v>1</v>
      </c>
      <c r="C99" s="63">
        <v>20000</v>
      </c>
      <c r="D99" s="58">
        <f t="shared" si="3"/>
        <v>20000</v>
      </c>
      <c r="E99" s="272" t="s">
        <v>19</v>
      </c>
      <c r="F99" s="272" t="s">
        <v>20</v>
      </c>
      <c r="G99" s="296" t="s">
        <v>21</v>
      </c>
      <c r="H99" s="296"/>
      <c r="I99" s="29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s="5" customFormat="1" ht="15" customHeight="1" x14ac:dyDescent="0.35">
      <c r="A100" s="40"/>
      <c r="B100" s="62">
        <v>1</v>
      </c>
      <c r="C100" s="63">
        <v>10000</v>
      </c>
      <c r="D100" s="58">
        <f t="shared" si="3"/>
        <v>10000</v>
      </c>
      <c r="E100" s="273" t="s">
        <v>79</v>
      </c>
      <c r="F100" s="273" t="s">
        <v>80</v>
      </c>
      <c r="G100" s="298" t="s">
        <v>81</v>
      </c>
      <c r="H100" s="298"/>
      <c r="I100" s="29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s="5" customFormat="1" ht="15" customHeight="1" x14ac:dyDescent="0.35">
      <c r="A101" s="40"/>
      <c r="B101" s="62"/>
      <c r="C101" s="63">
        <v>5000</v>
      </c>
      <c r="D101" s="58">
        <f t="shared" si="3"/>
        <v>0</v>
      </c>
      <c r="E101" s="38" t="s">
        <v>0</v>
      </c>
      <c r="F101" s="38"/>
      <c r="G101" s="38"/>
      <c r="H101" s="38"/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s="5" customFormat="1" ht="15" customHeight="1" x14ac:dyDescent="0.35">
      <c r="A102" s="40"/>
      <c r="B102" s="62">
        <v>4</v>
      </c>
      <c r="C102" s="63">
        <v>2000</v>
      </c>
      <c r="D102" s="58">
        <f t="shared" si="3"/>
        <v>8000</v>
      </c>
      <c r="E102" s="38"/>
      <c r="F102" s="38" t="s">
        <v>8</v>
      </c>
      <c r="G102" s="38"/>
      <c r="H102" s="38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s="5" customFormat="1" ht="15" customHeight="1" x14ac:dyDescent="0.35">
      <c r="A103" s="40"/>
      <c r="B103" s="62"/>
      <c r="C103" s="63">
        <v>1000</v>
      </c>
      <c r="D103" s="58">
        <f t="shared" si="3"/>
        <v>0</v>
      </c>
      <c r="E103" s="38"/>
      <c r="F103" s="38"/>
      <c r="G103" s="38"/>
      <c r="H103" s="38"/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s="1" customFormat="1" ht="15" customHeight="1" x14ac:dyDescent="0.35">
      <c r="A104" s="40"/>
      <c r="B104" s="62"/>
      <c r="C104" s="63">
        <v>500</v>
      </c>
      <c r="D104" s="58">
        <f t="shared" si="3"/>
        <v>0</v>
      </c>
      <c r="E104" s="38"/>
      <c r="F104" s="38"/>
      <c r="G104" s="38"/>
      <c r="H104" s="38"/>
      <c r="I104" s="39"/>
    </row>
    <row r="105" spans="1:37" s="1" customFormat="1" ht="15" customHeight="1" x14ac:dyDescent="0.35">
      <c r="A105" s="40"/>
      <c r="B105" s="62">
        <v>3</v>
      </c>
      <c r="C105" s="63">
        <v>200</v>
      </c>
      <c r="D105" s="58">
        <f t="shared" si="3"/>
        <v>600</v>
      </c>
      <c r="E105" s="38"/>
      <c r="F105" s="38"/>
      <c r="G105" s="38"/>
      <c r="H105" s="38"/>
      <c r="I105" s="39"/>
    </row>
    <row r="106" spans="1:37" s="1" customFormat="1" ht="15" customHeight="1" x14ac:dyDescent="0.35">
      <c r="A106" s="40"/>
      <c r="B106" s="62">
        <v>5</v>
      </c>
      <c r="C106" s="63">
        <v>100</v>
      </c>
      <c r="D106" s="58">
        <f>+C106*B106</f>
        <v>500</v>
      </c>
      <c r="E106" s="38"/>
      <c r="F106" s="43"/>
      <c r="G106" s="38"/>
      <c r="H106" s="38"/>
      <c r="I106" s="39"/>
    </row>
    <row r="107" spans="1:37" s="5" customFormat="1" ht="15" customHeight="1" thickBot="1" x14ac:dyDescent="0.4">
      <c r="A107" s="40"/>
      <c r="B107" s="68"/>
      <c r="C107" s="69">
        <v>50</v>
      </c>
      <c r="D107" s="58">
        <f t="shared" si="3"/>
        <v>0</v>
      </c>
      <c r="E107" s="38"/>
      <c r="F107" s="38"/>
      <c r="G107" s="38"/>
      <c r="H107" s="38"/>
      <c r="I107" s="3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s="1" customFormat="1" ht="15" customHeight="1" thickBot="1" x14ac:dyDescent="0.4">
      <c r="A108" s="40"/>
      <c r="B108" s="271"/>
      <c r="C108" s="70"/>
      <c r="D108" s="71">
        <f>SUM(D98:D107)</f>
        <v>139100</v>
      </c>
      <c r="E108" s="38"/>
      <c r="F108" s="38"/>
      <c r="G108" s="38"/>
      <c r="H108" s="38"/>
      <c r="I108" s="39"/>
    </row>
    <row r="109" spans="1:37" s="5" customFormat="1" ht="15" customHeight="1" thickBot="1" x14ac:dyDescent="0.4">
      <c r="A109" s="72"/>
      <c r="B109" s="73"/>
      <c r="C109" s="74"/>
      <c r="D109" s="75"/>
      <c r="E109" s="76"/>
      <c r="F109" s="76"/>
      <c r="G109" s="76"/>
      <c r="H109" s="76"/>
      <c r="I109" s="7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s="5" customFormat="1" ht="22.5" customHeight="1" x14ac:dyDescent="0.35">
      <c r="A110" s="1"/>
      <c r="B110"/>
      <c r="C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s="3" customFormat="1" ht="22.5" customHeight="1" x14ac:dyDescent="0.35">
      <c r="A111"/>
      <c r="B111"/>
      <c r="C111" s="6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 s="3" customFormat="1" ht="22.5" customHeight="1" x14ac:dyDescent="0.35">
      <c r="A112"/>
      <c r="B112"/>
      <c r="C112" s="6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 s="3" customFormat="1" ht="22.5" customHeight="1" x14ac:dyDescent="0.35">
      <c r="A113"/>
      <c r="B113"/>
      <c r="C113" s="6"/>
      <c r="D113" s="7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</sheetData>
  <autoFilter ref="C9:J95"/>
  <mergeCells count="23">
    <mergeCell ref="G99:I99"/>
    <mergeCell ref="G100:I100"/>
    <mergeCell ref="B10:B11"/>
    <mergeCell ref="B14:B72"/>
    <mergeCell ref="F89:F91"/>
    <mergeCell ref="G89:H89"/>
    <mergeCell ref="G90:H90"/>
    <mergeCell ref="G91:H91"/>
    <mergeCell ref="A92:D92"/>
    <mergeCell ref="G98:I98"/>
    <mergeCell ref="A88:E88"/>
    <mergeCell ref="A89:C91"/>
    <mergeCell ref="D89:E91"/>
    <mergeCell ref="B76:B86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1" right="1" top="1" bottom="1" header="0.5" footer="0.5"/>
  <pageSetup scale="4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7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8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4"/>
  <sheetViews>
    <sheetView showGridLines="0" topLeftCell="A19" workbookViewId="0">
      <selection activeCell="E26" sqref="E26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12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12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12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12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12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12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12" s="1" customFormat="1" ht="15.75" customHeight="1" thickBot="1" x14ac:dyDescent="0.4">
      <c r="A7" s="319" t="s">
        <v>23</v>
      </c>
      <c r="B7" s="320"/>
      <c r="C7" s="321">
        <v>43434</v>
      </c>
      <c r="D7" s="321"/>
      <c r="E7" s="321"/>
      <c r="F7" s="321"/>
      <c r="G7" s="321"/>
      <c r="H7" s="321"/>
      <c r="I7" s="322"/>
    </row>
    <row r="8" spans="1:12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12" s="1" customFormat="1" ht="28.5" customHeight="1" thickBot="1" x14ac:dyDescent="0.4">
      <c r="A9" s="279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79" t="str">
        <f>IF(K14=1,"IVA","TRM")</f>
        <v>TRM</v>
      </c>
      <c r="I9" s="14" t="s">
        <v>4</v>
      </c>
    </row>
    <row r="10" spans="1:12" s="1" customFormat="1" ht="15" thickBot="1" x14ac:dyDescent="0.4">
      <c r="A10" s="82">
        <v>1</v>
      </c>
      <c r="B10" s="229"/>
      <c r="C10" s="107">
        <v>43406</v>
      </c>
      <c r="D10" s="17">
        <v>10306806</v>
      </c>
      <c r="E10" s="18" t="str">
        <f>VLOOKUP(D10,[1]TERCEROS!$A$2:$C$4000,3,FALSE)</f>
        <v>JAIRO ALBERTO MOSQUERA SAAVEDRA</v>
      </c>
      <c r="F10" s="19" t="s">
        <v>609</v>
      </c>
      <c r="G10" s="20">
        <v>140</v>
      </c>
      <c r="H10" s="177">
        <v>3193.8</v>
      </c>
      <c r="I10" s="230">
        <f>IF($K$14=1,G10+H10,G10*H10)</f>
        <v>447132</v>
      </c>
    </row>
    <row r="11" spans="1:12" s="1" customFormat="1" ht="15" thickBot="1" x14ac:dyDescent="0.4">
      <c r="A11" s="82">
        <v>2</v>
      </c>
      <c r="B11" s="326" t="s">
        <v>55</v>
      </c>
      <c r="C11" s="108">
        <v>43416</v>
      </c>
      <c r="D11" s="26">
        <v>1031138543</v>
      </c>
      <c r="E11" s="27" t="str">
        <f>VLOOKUP(D11,[1]TERCEROS!$A$2:$C$4000,3,FALSE)</f>
        <v>OSCAR EDUARDO VALENCIA</v>
      </c>
      <c r="F11" s="28" t="s">
        <v>610</v>
      </c>
      <c r="G11" s="29">
        <v>200</v>
      </c>
      <c r="H11" s="178">
        <v>3637.65</v>
      </c>
      <c r="I11" s="231">
        <f>IF($K$14=1,G11+H11,G11*H11)</f>
        <v>727530</v>
      </c>
    </row>
    <row r="12" spans="1:12" s="1" customFormat="1" ht="15" thickBot="1" x14ac:dyDescent="0.4">
      <c r="A12" s="82">
        <v>3</v>
      </c>
      <c r="B12" s="326"/>
      <c r="C12" s="108"/>
      <c r="D12" s="26"/>
      <c r="E12" s="27"/>
      <c r="F12" s="28"/>
      <c r="G12" s="29"/>
      <c r="H12" s="178"/>
      <c r="I12" s="231"/>
    </row>
    <row r="13" spans="1:12" s="1" customFormat="1" ht="15" thickBot="1" x14ac:dyDescent="0.4">
      <c r="A13" s="82">
        <v>4</v>
      </c>
      <c r="B13" s="326"/>
      <c r="C13" s="108"/>
      <c r="D13" s="26"/>
      <c r="E13" s="27"/>
      <c r="F13" s="28"/>
      <c r="G13" s="29"/>
      <c r="H13" s="178"/>
      <c r="I13" s="231"/>
    </row>
    <row r="14" spans="1:12" s="1" customFormat="1" ht="15" thickBot="1" x14ac:dyDescent="0.4">
      <c r="A14" s="82">
        <v>5</v>
      </c>
      <c r="B14" s="326"/>
      <c r="C14" s="108"/>
      <c r="D14" s="26"/>
      <c r="E14" s="27"/>
      <c r="F14" s="28"/>
      <c r="G14" s="29"/>
      <c r="H14" s="178"/>
      <c r="I14" s="231"/>
      <c r="K14" s="1">
        <v>2</v>
      </c>
    </row>
    <row r="15" spans="1:12" s="1" customFormat="1" ht="15" thickBot="1" x14ac:dyDescent="0.4">
      <c r="A15" s="82">
        <v>6</v>
      </c>
      <c r="B15" s="326"/>
      <c r="C15" s="108"/>
      <c r="D15" s="26"/>
      <c r="E15" s="27"/>
      <c r="F15" s="28"/>
      <c r="G15" s="29"/>
      <c r="H15" s="178"/>
      <c r="I15" s="231"/>
    </row>
    <row r="16" spans="1:12" s="1" customFormat="1" ht="15" thickBot="1" x14ac:dyDescent="0.4">
      <c r="A16" s="82">
        <v>7</v>
      </c>
      <c r="B16" s="326"/>
      <c r="C16" s="108"/>
      <c r="D16" s="26"/>
      <c r="E16" s="27"/>
      <c r="F16" s="28"/>
      <c r="G16" s="29"/>
      <c r="H16" s="178"/>
      <c r="I16" s="231"/>
    </row>
    <row r="17" spans="1:37" s="1" customFormat="1" ht="15" thickBot="1" x14ac:dyDescent="0.4">
      <c r="A17" s="82">
        <v>8</v>
      </c>
      <c r="B17" s="326"/>
      <c r="C17" s="108"/>
      <c r="D17" s="26"/>
      <c r="E17" s="27"/>
      <c r="F17" s="28"/>
      <c r="G17" s="29"/>
      <c r="H17" s="178"/>
      <c r="I17" s="231"/>
    </row>
    <row r="18" spans="1:37" s="2" customFormat="1" ht="15.75" customHeight="1" thickBot="1" x14ac:dyDescent="0.4">
      <c r="A18" s="327" t="s">
        <v>611</v>
      </c>
      <c r="B18" s="328"/>
      <c r="C18" s="328"/>
      <c r="D18" s="328"/>
      <c r="E18" s="352"/>
      <c r="F18" s="33" t="s">
        <v>24</v>
      </c>
      <c r="G18" s="94">
        <f>SUM(G10:G17)</f>
        <v>340</v>
      </c>
      <c r="H18" s="34">
        <f>SUM(H10:H17)</f>
        <v>6831.4500000000007</v>
      </c>
      <c r="I18" s="34">
        <f>SUM(I10:I17)</f>
        <v>1174662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2" customFormat="1" ht="15" customHeight="1" x14ac:dyDescent="0.35">
      <c r="A19" s="300" t="s">
        <v>26</v>
      </c>
      <c r="B19" s="301"/>
      <c r="C19" s="301"/>
      <c r="D19" s="306" t="s">
        <v>58</v>
      </c>
      <c r="E19" s="307"/>
      <c r="F19" s="312"/>
      <c r="G19" s="315" t="s">
        <v>16</v>
      </c>
      <c r="H19" s="316"/>
      <c r="I19" s="35">
        <v>2832142</v>
      </c>
      <c r="J19" s="1"/>
      <c r="K19" s="1"/>
      <c r="L19" s="1"/>
      <c r="M19" s="21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2" customFormat="1" ht="15" customHeight="1" x14ac:dyDescent="0.35">
      <c r="A20" s="302"/>
      <c r="B20" s="303"/>
      <c r="C20" s="303"/>
      <c r="D20" s="308"/>
      <c r="E20" s="309"/>
      <c r="F20" s="313"/>
      <c r="G20" s="317" t="s">
        <v>17</v>
      </c>
      <c r="H20" s="318"/>
      <c r="I20" s="36">
        <f>+I19-I18</f>
        <v>1657480</v>
      </c>
      <c r="J20" s="1"/>
      <c r="K20" s="1"/>
      <c r="L20" s="1"/>
      <c r="M20" s="2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1" customFormat="1" ht="15.75" customHeight="1" thickBot="1" x14ac:dyDescent="0.4">
      <c r="A21" s="304"/>
      <c r="B21" s="305"/>
      <c r="C21" s="305"/>
      <c r="D21" s="310"/>
      <c r="E21" s="311"/>
      <c r="F21" s="314"/>
      <c r="G21" s="289" t="s">
        <v>5</v>
      </c>
      <c r="H21" s="290"/>
      <c r="I21" s="37">
        <f>+I19-I20</f>
        <v>1174662</v>
      </c>
    </row>
    <row r="22" spans="1:37" s="1" customFormat="1" ht="15" thickBot="1" x14ac:dyDescent="0.4">
      <c r="A22" s="291" t="s">
        <v>25</v>
      </c>
      <c r="B22" s="292"/>
      <c r="C22" s="292"/>
      <c r="D22" s="293"/>
      <c r="E22" s="38"/>
      <c r="F22" s="38"/>
      <c r="G22" s="38"/>
      <c r="H22" s="38"/>
      <c r="I22" s="39"/>
    </row>
    <row r="23" spans="1:37" s="1" customFormat="1" ht="15" thickBot="1" x14ac:dyDescent="0.4">
      <c r="A23" s="40"/>
      <c r="B23" s="41" t="s">
        <v>6</v>
      </c>
      <c r="C23" s="42">
        <f>D39</f>
        <v>0</v>
      </c>
      <c r="D23" s="39"/>
      <c r="E23" s="43">
        <f>C23+C26+I18</f>
        <v>1174662</v>
      </c>
      <c r="F23" s="43"/>
      <c r="G23" s="38"/>
      <c r="H23" s="38"/>
      <c r="I23" s="44"/>
    </row>
    <row r="24" spans="1:37" s="1" customFormat="1" ht="15" thickBot="1" x14ac:dyDescent="0.4">
      <c r="A24" s="40"/>
      <c r="B24" s="41"/>
      <c r="C24" s="45"/>
      <c r="D24" s="39"/>
      <c r="E24" s="43">
        <f>+E23-I19</f>
        <v>-1657480</v>
      </c>
      <c r="F24" s="38"/>
      <c r="G24" s="38"/>
      <c r="H24" s="38"/>
      <c r="I24" s="39"/>
    </row>
    <row r="25" spans="1:37" s="1" customFormat="1" ht="15" thickBot="1" x14ac:dyDescent="0.4">
      <c r="A25" s="40"/>
      <c r="B25" s="46"/>
      <c r="C25" s="45">
        <v>0</v>
      </c>
      <c r="D25" s="39"/>
      <c r="E25" s="43"/>
      <c r="F25" s="38"/>
      <c r="G25" s="38"/>
      <c r="H25" s="38"/>
      <c r="I25" s="39"/>
    </row>
    <row r="26" spans="1:37" s="1" customFormat="1" ht="15" thickBot="1" x14ac:dyDescent="0.4">
      <c r="A26" s="40"/>
      <c r="B26" s="47" t="s">
        <v>7</v>
      </c>
      <c r="C26" s="45">
        <f>SUM(C24:C25)</f>
        <v>0</v>
      </c>
      <c r="D26" s="39"/>
      <c r="E26" s="48"/>
      <c r="F26" s="48"/>
      <c r="G26" s="48"/>
      <c r="H26" s="48"/>
      <c r="I26" s="49"/>
    </row>
    <row r="27" spans="1:37" s="1" customFormat="1" ht="15" thickBot="1" x14ac:dyDescent="0.4">
      <c r="A27" s="40"/>
      <c r="B27" s="50"/>
      <c r="C27" s="51"/>
      <c r="D27" s="39"/>
      <c r="E27" s="48"/>
      <c r="F27" s="48"/>
      <c r="G27" s="48"/>
      <c r="H27" s="48"/>
      <c r="I27" s="49"/>
    </row>
    <row r="28" spans="1:37" s="1" customFormat="1" ht="15" thickBot="1" x14ac:dyDescent="0.4">
      <c r="A28" s="40"/>
      <c r="B28" s="52"/>
      <c r="C28" s="53" t="s">
        <v>11</v>
      </c>
      <c r="D28" s="54" t="s">
        <v>4</v>
      </c>
      <c r="E28" s="38"/>
      <c r="F28" s="55"/>
      <c r="G28" s="38"/>
      <c r="H28" s="38"/>
      <c r="I28" s="39"/>
    </row>
    <row r="29" spans="1:37" s="1" customFormat="1" ht="14.5" x14ac:dyDescent="0.35">
      <c r="A29" s="40"/>
      <c r="B29" s="56"/>
      <c r="C29" s="57">
        <v>50000</v>
      </c>
      <c r="D29" s="58">
        <f t="shared" ref="D29:D38" si="0">+C29*B29</f>
        <v>0</v>
      </c>
      <c r="E29" s="276" t="s">
        <v>29</v>
      </c>
      <c r="F29" s="60" t="s">
        <v>27</v>
      </c>
      <c r="G29" s="294" t="s">
        <v>28</v>
      </c>
      <c r="H29" s="294"/>
      <c r="I29" s="295"/>
    </row>
    <row r="30" spans="1:37" s="5" customFormat="1" ht="15" customHeight="1" x14ac:dyDescent="0.35">
      <c r="A30" s="40"/>
      <c r="B30" s="62"/>
      <c r="C30" s="63">
        <v>20000</v>
      </c>
      <c r="D30" s="58">
        <f t="shared" si="0"/>
        <v>0</v>
      </c>
      <c r="E30" s="277" t="s">
        <v>19</v>
      </c>
      <c r="F30" s="277" t="s">
        <v>20</v>
      </c>
      <c r="G30" s="296" t="s">
        <v>21</v>
      </c>
      <c r="H30" s="296"/>
      <c r="I30" s="29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s="5" customFormat="1" ht="15" customHeight="1" x14ac:dyDescent="0.35">
      <c r="A31" s="40"/>
      <c r="B31" s="62"/>
      <c r="C31" s="63">
        <v>10000</v>
      </c>
      <c r="D31" s="58">
        <f t="shared" si="0"/>
        <v>0</v>
      </c>
      <c r="E31" s="278" t="s">
        <v>79</v>
      </c>
      <c r="F31" s="278" t="s">
        <v>80</v>
      </c>
      <c r="G31" s="298" t="s">
        <v>81</v>
      </c>
      <c r="H31" s="298"/>
      <c r="I31" s="29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s="5" customFormat="1" ht="15" customHeight="1" x14ac:dyDescent="0.35">
      <c r="A32" s="40"/>
      <c r="B32" s="62"/>
      <c r="C32" s="63">
        <v>5000</v>
      </c>
      <c r="D32" s="58">
        <f t="shared" si="0"/>
        <v>0</v>
      </c>
      <c r="E32" s="38" t="s">
        <v>0</v>
      </c>
      <c r="F32" s="38"/>
      <c r="G32" s="38"/>
      <c r="H32" s="38"/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s="5" customFormat="1" ht="15" customHeight="1" x14ac:dyDescent="0.35">
      <c r="A33" s="40"/>
      <c r="B33" s="62"/>
      <c r="C33" s="63">
        <v>2000</v>
      </c>
      <c r="D33" s="58">
        <f t="shared" si="0"/>
        <v>0</v>
      </c>
      <c r="E33" s="38"/>
      <c r="F33" s="38" t="s">
        <v>8</v>
      </c>
      <c r="G33" s="38"/>
      <c r="H33" s="38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s="5" customFormat="1" ht="15" customHeight="1" x14ac:dyDescent="0.35">
      <c r="A34" s="40"/>
      <c r="B34" s="62"/>
      <c r="C34" s="63">
        <v>1000</v>
      </c>
      <c r="D34" s="58">
        <f t="shared" si="0"/>
        <v>0</v>
      </c>
      <c r="E34" s="38"/>
      <c r="F34" s="38"/>
      <c r="G34" s="38"/>
      <c r="H34" s="38"/>
      <c r="I34" s="3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s="1" customFormat="1" ht="15" customHeight="1" x14ac:dyDescent="0.35">
      <c r="A35" s="40"/>
      <c r="B35" s="62"/>
      <c r="C35" s="63">
        <v>500</v>
      </c>
      <c r="D35" s="58">
        <f t="shared" si="0"/>
        <v>0</v>
      </c>
      <c r="E35" s="38"/>
      <c r="F35" s="38"/>
      <c r="G35" s="38"/>
      <c r="H35" s="38"/>
      <c r="I35" s="39"/>
    </row>
    <row r="36" spans="1:37" s="1" customFormat="1" ht="15" customHeight="1" x14ac:dyDescent="0.35">
      <c r="A36" s="40"/>
      <c r="B36" s="62"/>
      <c r="C36" s="63">
        <v>200</v>
      </c>
      <c r="D36" s="58">
        <f t="shared" si="0"/>
        <v>0</v>
      </c>
      <c r="E36" s="38"/>
      <c r="F36" s="38"/>
      <c r="G36" s="38"/>
      <c r="H36" s="38"/>
      <c r="I36" s="39"/>
    </row>
    <row r="37" spans="1:37" s="1" customFormat="1" ht="15" customHeight="1" x14ac:dyDescent="0.35">
      <c r="A37" s="40"/>
      <c r="B37" s="62"/>
      <c r="C37" s="63">
        <v>100</v>
      </c>
      <c r="D37" s="58">
        <f>+C37*B37</f>
        <v>0</v>
      </c>
      <c r="E37" s="38"/>
      <c r="F37" s="38"/>
      <c r="G37" s="38"/>
      <c r="H37" s="38"/>
      <c r="I37" s="39"/>
    </row>
    <row r="38" spans="1:37" s="5" customFormat="1" ht="15" customHeight="1" thickBot="1" x14ac:dyDescent="0.4">
      <c r="A38" s="40"/>
      <c r="B38" s="68"/>
      <c r="C38" s="69">
        <v>50</v>
      </c>
      <c r="D38" s="58">
        <f t="shared" si="0"/>
        <v>0</v>
      </c>
      <c r="E38" s="38"/>
      <c r="F38" s="38"/>
      <c r="G38" s="38"/>
      <c r="H38" s="38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s="1" customFormat="1" ht="15" customHeight="1" thickBot="1" x14ac:dyDescent="0.4">
      <c r="A39" s="40"/>
      <c r="B39" s="276"/>
      <c r="C39" s="70"/>
      <c r="D39" s="71">
        <f>SUM(D29:D38)</f>
        <v>0</v>
      </c>
      <c r="E39" s="38"/>
      <c r="F39" s="38"/>
      <c r="G39" s="38"/>
      <c r="H39" s="38"/>
      <c r="I39" s="39"/>
    </row>
    <row r="40" spans="1:37" s="5" customFormat="1" ht="15" customHeight="1" thickBot="1" x14ac:dyDescent="0.4">
      <c r="A40" s="72"/>
      <c r="B40" s="73"/>
      <c r="C40" s="74"/>
      <c r="D40" s="75"/>
      <c r="E40" s="76"/>
      <c r="F40" s="76"/>
      <c r="G40" s="76"/>
      <c r="H40" s="76"/>
      <c r="I40" s="7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s="5" customFormat="1" ht="22.5" customHeight="1" x14ac:dyDescent="0.35">
      <c r="A41" s="1"/>
      <c r="B41"/>
      <c r="C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s="3" customFormat="1" ht="22.5" customHeight="1" x14ac:dyDescent="0.35">
      <c r="A42"/>
      <c r="B42"/>
      <c r="C42" s="6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1:37" s="3" customFormat="1" ht="22.5" customHeight="1" x14ac:dyDescent="0.35">
      <c r="A43"/>
      <c r="B43"/>
      <c r="C43" s="6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1:37" s="3" customFormat="1" ht="22.5" customHeight="1" x14ac:dyDescent="0.35">
      <c r="A44"/>
      <c r="B44"/>
      <c r="C44" s="6"/>
      <c r="D44" s="7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</sheetData>
  <autoFilter ref="C9:J26"/>
  <mergeCells count="21">
    <mergeCell ref="A7:B7"/>
    <mergeCell ref="C7:I7"/>
    <mergeCell ref="A8:I8"/>
    <mergeCell ref="B11:B17"/>
    <mergeCell ref="A1:B6"/>
    <mergeCell ref="C1:F3"/>
    <mergeCell ref="G1:I2"/>
    <mergeCell ref="G3:I4"/>
    <mergeCell ref="C4:F6"/>
    <mergeCell ref="G5:I6"/>
    <mergeCell ref="A22:D22"/>
    <mergeCell ref="G29:I29"/>
    <mergeCell ref="G30:I30"/>
    <mergeCell ref="G31:I31"/>
    <mergeCell ref="A18:E18"/>
    <mergeCell ref="A19:C21"/>
    <mergeCell ref="D19:E21"/>
    <mergeCell ref="F19:F21"/>
    <mergeCell ref="G19:H19"/>
    <mergeCell ref="G20:H20"/>
    <mergeCell ref="G21:H21"/>
  </mergeCells>
  <pageMargins left="0.7" right="0.7" top="0.75" bottom="0.75" header="0.3" footer="0.3"/>
  <pageSetup scale="5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0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1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2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40"/>
  <sheetViews>
    <sheetView showGridLines="0" tabSelected="1" topLeftCell="A15" workbookViewId="0">
      <selection activeCell="E28" sqref="E28"/>
    </sheetView>
  </sheetViews>
  <sheetFormatPr baseColWidth="10" defaultRowHeight="22.5" customHeight="1" x14ac:dyDescent="0.35"/>
  <cols>
    <col min="1" max="1" width="4.453125" bestFit="1" customWidth="1"/>
    <col min="2" max="2" width="28.26953125" customWidth="1"/>
    <col min="3" max="3" width="15.81640625" style="6" customWidth="1"/>
    <col min="4" max="4" width="19.26953125" customWidth="1"/>
    <col min="5" max="5" width="37.453125" customWidth="1"/>
    <col min="6" max="6" width="26.1796875" customWidth="1"/>
    <col min="7" max="7" width="20" customWidth="1"/>
    <col min="8" max="8" width="11.453125" bestFit="1" customWidth="1"/>
    <col min="9" max="9" width="12" customWidth="1"/>
    <col min="11" max="11" width="16.453125" hidden="1" customWidth="1"/>
    <col min="13" max="13" width="12" bestFit="1" customWidth="1"/>
  </cols>
  <sheetData>
    <row r="1" spans="1:37" s="1" customFormat="1" ht="12" customHeight="1" thickBot="1" x14ac:dyDescent="0.4">
      <c r="A1" s="331"/>
      <c r="B1" s="331"/>
      <c r="C1" s="332" t="s">
        <v>12</v>
      </c>
      <c r="D1" s="332"/>
      <c r="E1" s="332"/>
      <c r="F1" s="332"/>
      <c r="G1" s="333" t="s">
        <v>13</v>
      </c>
      <c r="H1" s="333"/>
      <c r="I1" s="333"/>
      <c r="K1" s="4"/>
      <c r="L1" s="4"/>
    </row>
    <row r="2" spans="1:37" s="1" customFormat="1" ht="12" customHeight="1" thickBot="1" x14ac:dyDescent="0.4">
      <c r="A2" s="331"/>
      <c r="B2" s="331"/>
      <c r="C2" s="332"/>
      <c r="D2" s="332"/>
      <c r="E2" s="332"/>
      <c r="F2" s="332"/>
      <c r="G2" s="333"/>
      <c r="H2" s="333"/>
      <c r="I2" s="333"/>
      <c r="K2" s="4"/>
      <c r="L2" s="4"/>
    </row>
    <row r="3" spans="1:37" s="1" customFormat="1" ht="12" customHeight="1" thickBot="1" x14ac:dyDescent="0.4">
      <c r="A3" s="331"/>
      <c r="B3" s="331"/>
      <c r="C3" s="332"/>
      <c r="D3" s="332"/>
      <c r="E3" s="332"/>
      <c r="F3" s="332"/>
      <c r="G3" s="333" t="s">
        <v>14</v>
      </c>
      <c r="H3" s="333"/>
      <c r="I3" s="333"/>
    </row>
    <row r="4" spans="1:37" s="1" customFormat="1" ht="12" customHeight="1" thickBot="1" x14ac:dyDescent="0.4">
      <c r="A4" s="331"/>
      <c r="B4" s="331"/>
      <c r="C4" s="334" t="s">
        <v>15</v>
      </c>
      <c r="D4" s="334"/>
      <c r="E4" s="334"/>
      <c r="F4" s="334"/>
      <c r="G4" s="333"/>
      <c r="H4" s="333"/>
      <c r="I4" s="333"/>
    </row>
    <row r="5" spans="1:37" s="1" customFormat="1" ht="12" customHeight="1" thickBot="1" x14ac:dyDescent="0.4">
      <c r="A5" s="331"/>
      <c r="B5" s="331"/>
      <c r="C5" s="334"/>
      <c r="D5" s="334"/>
      <c r="E5" s="334"/>
      <c r="F5" s="334"/>
      <c r="G5" s="333" t="s">
        <v>9</v>
      </c>
      <c r="H5" s="333"/>
      <c r="I5" s="333"/>
    </row>
    <row r="6" spans="1:37" s="1" customFormat="1" ht="12" customHeight="1" thickBot="1" x14ac:dyDescent="0.4">
      <c r="A6" s="331"/>
      <c r="B6" s="331"/>
      <c r="C6" s="334"/>
      <c r="D6" s="334"/>
      <c r="E6" s="334"/>
      <c r="F6" s="334"/>
      <c r="G6" s="333"/>
      <c r="H6" s="333"/>
      <c r="I6" s="333"/>
    </row>
    <row r="7" spans="1:37" s="1" customFormat="1" ht="15.75" customHeight="1" thickBot="1" x14ac:dyDescent="0.4">
      <c r="A7" s="319" t="s">
        <v>23</v>
      </c>
      <c r="B7" s="320"/>
      <c r="C7" s="321">
        <v>44685</v>
      </c>
      <c r="D7" s="321"/>
      <c r="E7" s="321"/>
      <c r="F7" s="321"/>
      <c r="G7" s="321"/>
      <c r="H7" s="321"/>
      <c r="I7" s="322"/>
    </row>
    <row r="8" spans="1:37" s="1" customFormat="1" ht="24.75" customHeight="1" thickBot="1" x14ac:dyDescent="0.4">
      <c r="A8" s="323" t="s">
        <v>22</v>
      </c>
      <c r="B8" s="324"/>
      <c r="C8" s="324"/>
      <c r="D8" s="324"/>
      <c r="E8" s="324"/>
      <c r="F8" s="324"/>
      <c r="G8" s="324"/>
      <c r="H8" s="324"/>
      <c r="I8" s="325"/>
    </row>
    <row r="9" spans="1:37" s="1" customFormat="1" ht="28.5" customHeight="1" thickBot="1" x14ac:dyDescent="0.4">
      <c r="A9" s="287" t="s">
        <v>1</v>
      </c>
      <c r="B9" s="9" t="s">
        <v>18</v>
      </c>
      <c r="C9" s="10" t="s">
        <v>2</v>
      </c>
      <c r="D9" s="11" t="s">
        <v>30</v>
      </c>
      <c r="E9" s="12" t="s">
        <v>3</v>
      </c>
      <c r="F9" s="12" t="s">
        <v>10</v>
      </c>
      <c r="G9" s="13" t="s">
        <v>31</v>
      </c>
      <c r="H9" s="287" t="e">
        <f>IF(#REF!=1,"IVA","TRM")</f>
        <v>#REF!</v>
      </c>
      <c r="I9" s="14" t="s">
        <v>4</v>
      </c>
    </row>
    <row r="10" spans="1:37" s="1" customFormat="1" ht="15" thickBot="1" x14ac:dyDescent="0.4">
      <c r="A10" s="82">
        <v>1</v>
      </c>
      <c r="B10" s="347" t="s">
        <v>396</v>
      </c>
      <c r="C10" s="107">
        <v>44686</v>
      </c>
      <c r="D10" s="17"/>
      <c r="E10" s="27" t="s">
        <v>616</v>
      </c>
      <c r="F10" s="28" t="s">
        <v>613</v>
      </c>
      <c r="G10" s="20">
        <v>450000</v>
      </c>
      <c r="H10" s="177"/>
      <c r="I10" s="230">
        <v>450000</v>
      </c>
    </row>
    <row r="11" spans="1:37" s="1" customFormat="1" ht="15" thickBot="1" x14ac:dyDescent="0.4">
      <c r="A11" s="82">
        <v>2</v>
      </c>
      <c r="B11" s="326"/>
      <c r="C11" s="107">
        <v>44682</v>
      </c>
      <c r="D11" s="17"/>
      <c r="E11" s="27" t="s">
        <v>616</v>
      </c>
      <c r="F11" s="28" t="s">
        <v>612</v>
      </c>
      <c r="G11" s="20">
        <v>100000</v>
      </c>
      <c r="H11" s="178"/>
      <c r="I11" s="231">
        <v>100000</v>
      </c>
    </row>
    <row r="12" spans="1:37" s="1" customFormat="1" ht="15" thickBot="1" x14ac:dyDescent="0.4">
      <c r="A12" s="82">
        <v>3</v>
      </c>
      <c r="B12" s="326"/>
      <c r="C12" s="107">
        <v>44686</v>
      </c>
      <c r="D12" s="17"/>
      <c r="E12" s="27" t="s">
        <v>616</v>
      </c>
      <c r="F12" s="28" t="s">
        <v>612</v>
      </c>
      <c r="G12" s="20">
        <v>100000</v>
      </c>
      <c r="H12" s="178"/>
      <c r="I12" s="231">
        <v>100000</v>
      </c>
    </row>
    <row r="13" spans="1:37" s="1" customFormat="1" ht="15" thickBot="1" x14ac:dyDescent="0.4">
      <c r="A13" s="82">
        <v>4</v>
      </c>
      <c r="B13" s="326"/>
      <c r="C13" s="107">
        <v>44682</v>
      </c>
      <c r="D13" s="17"/>
      <c r="E13" s="27" t="s">
        <v>616</v>
      </c>
      <c r="F13" s="28" t="s">
        <v>617</v>
      </c>
      <c r="G13" s="123">
        <v>20000</v>
      </c>
      <c r="H13" s="178"/>
      <c r="I13" s="231">
        <v>20000</v>
      </c>
    </row>
    <row r="14" spans="1:37" s="1" customFormat="1" ht="14.5" x14ac:dyDescent="0.35">
      <c r="A14" s="82">
        <v>5</v>
      </c>
      <c r="B14" s="326"/>
      <c r="C14" s="107">
        <v>44686</v>
      </c>
      <c r="D14" s="17"/>
      <c r="E14" s="27" t="s">
        <v>616</v>
      </c>
      <c r="F14" s="28" t="s">
        <v>617</v>
      </c>
      <c r="G14" s="29">
        <v>20000</v>
      </c>
      <c r="H14" s="178"/>
      <c r="I14" s="231">
        <v>20000</v>
      </c>
    </row>
    <row r="15" spans="1:37" s="2" customFormat="1" ht="15.75" customHeight="1" thickBot="1" x14ac:dyDescent="0.4">
      <c r="A15" s="356" t="s">
        <v>615</v>
      </c>
      <c r="B15" s="357"/>
      <c r="C15" s="357"/>
      <c r="D15" s="357"/>
      <c r="E15" s="358"/>
      <c r="F15" s="288" t="s">
        <v>24</v>
      </c>
      <c r="G15" s="94">
        <f>SUM(G10:G14)</f>
        <v>690000</v>
      </c>
      <c r="H15" s="94">
        <f>SUM(H10:H14)</f>
        <v>0</v>
      </c>
      <c r="I15" s="94">
        <f>SUM(I10:I14)</f>
        <v>690000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2" customFormat="1" ht="15" customHeight="1" x14ac:dyDescent="0.35">
      <c r="A16" s="359" t="s">
        <v>26</v>
      </c>
      <c r="B16" s="360"/>
      <c r="C16" s="361"/>
      <c r="D16" s="308" t="s">
        <v>614</v>
      </c>
      <c r="E16" s="309"/>
      <c r="F16" s="312"/>
      <c r="G16" s="315" t="s">
        <v>16</v>
      </c>
      <c r="H16" s="316"/>
      <c r="I16" s="35">
        <v>0</v>
      </c>
      <c r="J16" s="1"/>
      <c r="K16" s="1"/>
      <c r="L16" s="1"/>
      <c r="M16" s="2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2" customFormat="1" ht="15" customHeight="1" x14ac:dyDescent="0.35">
      <c r="A17" s="302"/>
      <c r="B17" s="303"/>
      <c r="C17" s="362"/>
      <c r="D17" s="308"/>
      <c r="E17" s="309"/>
      <c r="F17" s="313"/>
      <c r="G17" s="317" t="s">
        <v>17</v>
      </c>
      <c r="H17" s="318"/>
      <c r="I17" s="36">
        <f>+I16-I15</f>
        <v>-690000</v>
      </c>
      <c r="J17" s="1"/>
      <c r="K17" s="1"/>
      <c r="L17" s="1"/>
      <c r="M17" s="21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1" customFormat="1" ht="15.75" customHeight="1" thickBot="1" x14ac:dyDescent="0.4">
      <c r="A18" s="304"/>
      <c r="B18" s="305"/>
      <c r="C18" s="363"/>
      <c r="D18" s="310"/>
      <c r="E18" s="311"/>
      <c r="F18" s="314"/>
      <c r="G18" s="289" t="s">
        <v>5</v>
      </c>
      <c r="H18" s="290"/>
      <c r="I18" s="37">
        <f>+I16-I17</f>
        <v>690000</v>
      </c>
    </row>
    <row r="19" spans="1:37" s="1" customFormat="1" ht="15" thickBot="1" x14ac:dyDescent="0.4">
      <c r="A19" s="291" t="s">
        <v>25</v>
      </c>
      <c r="B19" s="292"/>
      <c r="C19" s="292"/>
      <c r="D19" s="293"/>
      <c r="E19" s="38"/>
      <c r="F19" s="38"/>
      <c r="G19" s="38"/>
      <c r="H19" s="38"/>
      <c r="I19" s="39"/>
    </row>
    <row r="20" spans="1:37" s="1" customFormat="1" ht="15" thickBot="1" x14ac:dyDescent="0.4">
      <c r="A20" s="40"/>
      <c r="B20" s="41" t="s">
        <v>6</v>
      </c>
      <c r="C20" s="42">
        <v>0</v>
      </c>
      <c r="D20" s="39"/>
      <c r="E20" s="43">
        <f>C20+C22+I15</f>
        <v>690000</v>
      </c>
      <c r="F20" s="43"/>
      <c r="G20" s="38"/>
      <c r="H20" s="38"/>
      <c r="I20" s="44"/>
    </row>
    <row r="21" spans="1:37" s="1" customFormat="1" ht="15" thickBot="1" x14ac:dyDescent="0.4">
      <c r="A21" s="40"/>
      <c r="B21" s="41"/>
      <c r="C21" s="45">
        <v>0</v>
      </c>
      <c r="D21" s="39"/>
      <c r="E21" s="43">
        <f>+E20-I16</f>
        <v>690000</v>
      </c>
      <c r="F21" s="38"/>
      <c r="G21" s="38"/>
      <c r="H21" s="38"/>
      <c r="I21" s="39"/>
    </row>
    <row r="22" spans="1:37" s="1" customFormat="1" ht="15" thickBot="1" x14ac:dyDescent="0.4">
      <c r="A22" s="40"/>
      <c r="B22" s="47" t="s">
        <v>7</v>
      </c>
      <c r="C22" s="45">
        <f>SUM(C21:C21)</f>
        <v>0</v>
      </c>
      <c r="D22" s="39"/>
      <c r="E22" s="48"/>
      <c r="F22" s="48"/>
      <c r="G22" s="48"/>
      <c r="H22" s="48"/>
      <c r="I22" s="49"/>
    </row>
    <row r="23" spans="1:37" s="1" customFormat="1" ht="15" thickBot="1" x14ac:dyDescent="0.4">
      <c r="A23" s="40"/>
      <c r="B23" s="50"/>
      <c r="C23" s="51"/>
      <c r="D23" s="39"/>
      <c r="E23" s="48"/>
      <c r="F23" s="48"/>
      <c r="G23" s="48"/>
      <c r="H23" s="48"/>
      <c r="I23" s="49"/>
    </row>
    <row r="24" spans="1:37" s="1" customFormat="1" ht="15" thickBot="1" x14ac:dyDescent="0.4">
      <c r="A24" s="40"/>
      <c r="B24" s="52"/>
      <c r="C24" s="53" t="s">
        <v>11</v>
      </c>
      <c r="D24" s="54" t="s">
        <v>4</v>
      </c>
      <c r="E24" s="38"/>
      <c r="F24" s="55"/>
      <c r="G24" s="38"/>
      <c r="H24" s="38"/>
      <c r="I24" s="39"/>
    </row>
    <row r="25" spans="1:37" s="1" customFormat="1" ht="14.5" x14ac:dyDescent="0.35">
      <c r="A25" s="40"/>
      <c r="B25" s="56"/>
      <c r="C25" s="57">
        <v>50000</v>
      </c>
      <c r="D25" s="58">
        <f t="shared" ref="D25:D34" si="0">+C25*B25</f>
        <v>0</v>
      </c>
      <c r="E25" s="284" t="s">
        <v>29</v>
      </c>
      <c r="F25" s="60" t="s">
        <v>27</v>
      </c>
      <c r="G25" s="294" t="s">
        <v>28</v>
      </c>
      <c r="H25" s="294"/>
      <c r="I25" s="295"/>
    </row>
    <row r="26" spans="1:37" s="5" customFormat="1" ht="15" customHeight="1" x14ac:dyDescent="0.35">
      <c r="A26" s="40"/>
      <c r="B26" s="62">
        <v>1</v>
      </c>
      <c r="C26" s="63">
        <v>20000</v>
      </c>
      <c r="D26" s="58">
        <v>0</v>
      </c>
      <c r="E26" s="285" t="s">
        <v>19</v>
      </c>
      <c r="F26" s="285" t="s">
        <v>20</v>
      </c>
      <c r="G26" s="296" t="s">
        <v>21</v>
      </c>
      <c r="H26" s="296"/>
      <c r="I26" s="29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s="5" customFormat="1" ht="15" customHeight="1" x14ac:dyDescent="0.35">
      <c r="A27" s="40"/>
      <c r="B27" s="62">
        <v>1</v>
      </c>
      <c r="C27" s="63">
        <v>10000</v>
      </c>
      <c r="D27" s="58">
        <v>0</v>
      </c>
      <c r="E27" s="286" t="s">
        <v>618</v>
      </c>
      <c r="F27" s="286" t="s">
        <v>80</v>
      </c>
      <c r="G27" s="298" t="s">
        <v>81</v>
      </c>
      <c r="H27" s="298"/>
      <c r="I27" s="29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s="5" customFormat="1" ht="15" customHeight="1" x14ac:dyDescent="0.35">
      <c r="A28" s="40"/>
      <c r="B28" s="62"/>
      <c r="C28" s="63">
        <v>5000</v>
      </c>
      <c r="D28" s="58">
        <f t="shared" si="0"/>
        <v>0</v>
      </c>
      <c r="E28" s="38" t="s">
        <v>0</v>
      </c>
      <c r="F28" s="38"/>
      <c r="G28" s="38"/>
      <c r="H28" s="38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s="5" customFormat="1" ht="15" customHeight="1" x14ac:dyDescent="0.35">
      <c r="A29" s="40"/>
      <c r="B29" s="62"/>
      <c r="C29" s="63">
        <v>2000</v>
      </c>
      <c r="D29" s="58">
        <f t="shared" si="0"/>
        <v>0</v>
      </c>
      <c r="E29" s="38"/>
      <c r="F29" s="38" t="s">
        <v>8</v>
      </c>
      <c r="G29" s="38"/>
      <c r="H29" s="38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s="5" customFormat="1" ht="15" customHeight="1" x14ac:dyDescent="0.35">
      <c r="A30" s="40"/>
      <c r="B30" s="62"/>
      <c r="C30" s="63">
        <v>1000</v>
      </c>
      <c r="D30" s="58">
        <f t="shared" si="0"/>
        <v>0</v>
      </c>
      <c r="E30" s="38"/>
      <c r="F30" s="38"/>
      <c r="G30" s="38"/>
      <c r="H30" s="38"/>
      <c r="I30" s="3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s="1" customFormat="1" ht="15" customHeight="1" x14ac:dyDescent="0.35">
      <c r="A31" s="40"/>
      <c r="B31" s="62"/>
      <c r="C31" s="63">
        <v>500</v>
      </c>
      <c r="D31" s="58">
        <f t="shared" si="0"/>
        <v>0</v>
      </c>
      <c r="E31" s="38"/>
      <c r="F31" s="38"/>
      <c r="G31" s="38"/>
      <c r="H31" s="38"/>
      <c r="I31" s="39"/>
    </row>
    <row r="32" spans="1:37" s="1" customFormat="1" ht="15" customHeight="1" x14ac:dyDescent="0.35">
      <c r="A32" s="40"/>
      <c r="B32" s="62"/>
      <c r="C32" s="63">
        <v>200</v>
      </c>
      <c r="D32" s="58">
        <f t="shared" si="0"/>
        <v>0</v>
      </c>
      <c r="E32" s="38"/>
      <c r="F32" s="38"/>
      <c r="G32" s="38"/>
      <c r="H32" s="38"/>
      <c r="I32" s="39"/>
    </row>
    <row r="33" spans="1:37" s="1" customFormat="1" ht="15" customHeight="1" x14ac:dyDescent="0.35">
      <c r="A33" s="40"/>
      <c r="B33" s="62"/>
      <c r="C33" s="63">
        <v>100</v>
      </c>
      <c r="D33" s="58">
        <f t="shared" si="0"/>
        <v>0</v>
      </c>
      <c r="E33" s="38"/>
      <c r="F33" s="43"/>
      <c r="G33" s="38"/>
      <c r="H33" s="38"/>
      <c r="I33" s="39"/>
    </row>
    <row r="34" spans="1:37" s="5" customFormat="1" ht="15" customHeight="1" thickBot="1" x14ac:dyDescent="0.4">
      <c r="A34" s="40"/>
      <c r="B34" s="68"/>
      <c r="C34" s="69">
        <v>50</v>
      </c>
      <c r="D34" s="58">
        <f t="shared" si="0"/>
        <v>0</v>
      </c>
      <c r="E34" s="38"/>
      <c r="F34" s="38"/>
      <c r="G34" s="38"/>
      <c r="H34" s="38"/>
      <c r="I34" s="3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s="1" customFormat="1" ht="15" customHeight="1" thickBot="1" x14ac:dyDescent="0.4">
      <c r="A35" s="40"/>
      <c r="B35" s="284"/>
      <c r="C35" s="70"/>
      <c r="D35" s="71">
        <f>SUM(D25:D34)</f>
        <v>0</v>
      </c>
      <c r="E35" s="38"/>
      <c r="F35" s="38"/>
      <c r="G35" s="38"/>
      <c r="H35" s="38"/>
      <c r="I35" s="39"/>
    </row>
    <row r="36" spans="1:37" s="5" customFormat="1" ht="15" customHeight="1" thickBot="1" x14ac:dyDescent="0.4">
      <c r="A36" s="72"/>
      <c r="B36" s="73"/>
      <c r="C36" s="74"/>
      <c r="D36" s="75"/>
      <c r="E36" s="76"/>
      <c r="F36" s="76"/>
      <c r="G36" s="76"/>
      <c r="H36" s="76"/>
      <c r="I36" s="7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s="5" customFormat="1" ht="22.5" customHeight="1" x14ac:dyDescent="0.35">
      <c r="A37" s="1"/>
      <c r="B37"/>
      <c r="C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s="3" customFormat="1" ht="22.5" customHeight="1" x14ac:dyDescent="0.35">
      <c r="A38"/>
      <c r="B38"/>
      <c r="C38" s="6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7" s="3" customFormat="1" ht="22.5" customHeight="1" x14ac:dyDescent="0.35">
      <c r="A39"/>
      <c r="B39"/>
      <c r="C39" s="6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s="3" customFormat="1" ht="22.5" customHeight="1" x14ac:dyDescent="0.35">
      <c r="A40"/>
      <c r="B40"/>
      <c r="C40" s="6"/>
      <c r="D40" s="7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</sheetData>
  <autoFilter ref="C9:J22"/>
  <mergeCells count="21">
    <mergeCell ref="G27:I27"/>
    <mergeCell ref="B10:B14"/>
    <mergeCell ref="A15:E15"/>
    <mergeCell ref="A16:C18"/>
    <mergeCell ref="D16:E18"/>
    <mergeCell ref="F16:F18"/>
    <mergeCell ref="G16:H16"/>
    <mergeCell ref="G17:H17"/>
    <mergeCell ref="G18:H18"/>
    <mergeCell ref="A19:D19"/>
    <mergeCell ref="G25:I25"/>
    <mergeCell ref="G26:I26"/>
    <mergeCell ref="A7:B7"/>
    <mergeCell ref="C7:I7"/>
    <mergeCell ref="A8:I8"/>
    <mergeCell ref="A1:B6"/>
    <mergeCell ref="C1:F3"/>
    <mergeCell ref="G1:I2"/>
    <mergeCell ref="G3:I4"/>
    <mergeCell ref="C4:F6"/>
    <mergeCell ref="G5:I6"/>
  </mergeCells>
  <pageMargins left="1" right="1" top="1" bottom="1" header="0.5" footer="0.5"/>
  <pageSetup scale="4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4" name="Option Button 1">
              <controlPr defaultSize="0" autoFill="0" autoLine="0" autoPict="0">
                <anchor moveWithCells="1">
                  <from>
                    <xdr:col>6</xdr:col>
                    <xdr:colOff>1085850</xdr:colOff>
                    <xdr:row>7</xdr:row>
                    <xdr:rowOff>298450</xdr:rowOff>
                  </from>
                  <to>
                    <xdr:col>6</xdr:col>
                    <xdr:colOff>1289050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5" name="Option Button 2">
              <controlPr defaultSize="0" autoFill="0" autoLine="0" autoPict="0">
                <anchor moveWithCells="1">
                  <from>
                    <xdr:col>6</xdr:col>
                    <xdr:colOff>1085850</xdr:colOff>
                    <xdr:row>8</xdr:row>
                    <xdr:rowOff>152400</xdr:rowOff>
                  </from>
                  <to>
                    <xdr:col>6</xdr:col>
                    <xdr:colOff>1308100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5" r:id="rId6" name="Check Box 3">
              <controlPr defaultSize="0" autoFill="0" autoLine="0" autoPict="0">
                <anchor moveWithCells="1">
                  <from>
                    <xdr:col>3</xdr:col>
                    <xdr:colOff>869950</xdr:colOff>
                    <xdr:row>7</xdr:row>
                    <xdr:rowOff>50800</xdr:rowOff>
                  </from>
                  <to>
                    <xdr:col>3</xdr:col>
                    <xdr:colOff>1085850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6" r:id="rId7" name="Check Box 4">
              <controlPr defaultSize="0" autoFill="0" autoLine="0" autoPict="0">
                <anchor moveWithCells="1">
                  <from>
                    <xdr:col>5</xdr:col>
                    <xdr:colOff>857250</xdr:colOff>
                    <xdr:row>7</xdr:row>
                    <xdr:rowOff>50800</xdr:rowOff>
                  </from>
                  <to>
                    <xdr:col>5</xdr:col>
                    <xdr:colOff>1079500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7" r:id="rId8" name="Option Button 5">
              <controlPr defaultSize="0" autoFill="0" autoLine="0" autoPict="0">
                <anchor moveWithCells="1">
                  <from>
                    <xdr:col>6</xdr:col>
                    <xdr:colOff>1085850</xdr:colOff>
                    <xdr:row>9</xdr:row>
                    <xdr:rowOff>152400</xdr:rowOff>
                  </from>
                  <to>
                    <xdr:col>6</xdr:col>
                    <xdr:colOff>1308100</xdr:colOff>
                    <xdr:row>10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8" r:id="rId9" name="Option Button 6">
              <controlPr defaultSize="0" autoFill="0" autoLine="0" autoPict="0">
                <anchor moveWithCells="1">
                  <from>
                    <xdr:col>6</xdr:col>
                    <xdr:colOff>1085850</xdr:colOff>
                    <xdr:row>10</xdr:row>
                    <xdr:rowOff>152400</xdr:rowOff>
                  </from>
                  <to>
                    <xdr:col>6</xdr:col>
                    <xdr:colOff>1308100</xdr:colOff>
                    <xdr:row>11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06 -11-2018   (4)</vt:lpstr>
      <vt:lpstr>27-08-2018</vt:lpstr>
      <vt:lpstr>LEGALIZACION 1 MILLON</vt:lpstr>
      <vt:lpstr>LEGALIZACION ALI</vt:lpstr>
      <vt:lpstr>3</vt:lpstr>
      <vt:lpstr>03-09-2018</vt:lpstr>
      <vt:lpstr>legalizacion alejandro torres</vt:lpstr>
      <vt:lpstr>10-09-2018</vt:lpstr>
      <vt:lpstr>LEGALIZACION ALI (2)</vt:lpstr>
      <vt:lpstr>17 -09-2018</vt:lpstr>
      <vt:lpstr>LEGALIZACION ALI (3)</vt:lpstr>
      <vt:lpstr>24 -09-2018</vt:lpstr>
      <vt:lpstr>01 -10-2018 (2)</vt:lpstr>
      <vt:lpstr>08 -10-2018</vt:lpstr>
      <vt:lpstr>16 -10-2018</vt:lpstr>
      <vt:lpstr>22 -10-2018</vt:lpstr>
      <vt:lpstr>30 -10-2018 </vt:lpstr>
      <vt:lpstr>06 -11-2018  </vt:lpstr>
      <vt:lpstr>06 -11-2018   (2)</vt:lpstr>
      <vt:lpstr>06 -11-2018   (3)</vt:lpstr>
      <vt:lpstr>19-11-2018  </vt:lpstr>
      <vt:lpstr>26 -11-2018</vt:lpstr>
      <vt:lpstr>03 -12-2018 </vt:lpstr>
      <vt:lpstr>10 -12-2018 </vt:lpstr>
      <vt:lpstr>14 -12-2018</vt:lpstr>
      <vt:lpstr>04-02-2022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Ramon Porras</cp:lastModifiedBy>
  <cp:lastPrinted>2019-01-28T15:43:12Z</cp:lastPrinted>
  <dcterms:created xsi:type="dcterms:W3CDTF">2018-08-15T20:53:16Z</dcterms:created>
  <dcterms:modified xsi:type="dcterms:W3CDTF">2022-05-05T04:34:26Z</dcterms:modified>
</cp:coreProperties>
</file>